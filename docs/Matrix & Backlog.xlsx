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n Cong UC (Muc 5)" sheetId="1" r:id="rId4"/>
    <sheet state="visible" name="Tong Hop &amp; Ma Tran (Muc 4-5)" sheetId="2" r:id="rId5"/>
  </sheets>
  <definedNames/>
  <calcPr/>
  <extLst>
    <ext uri="GoogleSheetsCustomDataVersion2">
      <go:sheetsCustomData xmlns:go="http://customooxmlschemas.google.com/" r:id="rId6" roundtripDataChecksum="45TTdLQb/KRI5WZ6y23wBqDZwEqu0lqVs+51VAEGRKI="/>
    </ext>
  </extLst>
</workbook>
</file>

<file path=xl/sharedStrings.xml><?xml version="1.0" encoding="utf-8"?>
<sst xmlns="http://schemas.openxmlformats.org/spreadsheetml/2006/main" count="997" uniqueCount="362">
  <si>
    <t>BẢNG TỔNG HỢP PHÂN CÔNG &amp; MA TRẬN CHỨC NĂNG - ACTOR</t>
  </si>
  <si>
    <t>BẢNG PHÂN CÔNG NHIỆM VỤ DỰ ÁN ACADPREP (MICROSERVICE)</t>
  </si>
  <si>
    <t>5.1. Bảng tổng hợp phân công theo thành viên &amp; Microservice</t>
  </si>
  <si>
    <t>Phân chia 67 Use Cases cho 05 thành viên tương ứng 05 Deployable Services | Phiên bản 1.0</t>
  </si>
  <si>
    <t>Mã TV</t>
  </si>
  <si>
    <t>Tổng số UC</t>
  </si>
  <si>
    <t>Họ và tên</t>
  </si>
  <si>
    <t>Microservice phụ trách</t>
  </si>
  <si>
    <t>Nhóm UC chính</t>
  </si>
  <si>
    <t>Actor phục vụ chính</t>
  </si>
  <si>
    <t>TV01</t>
  </si>
  <si>
    <t>Identity (Gia Huy)</t>
  </si>
  <si>
    <t>Exam Engine (Thanh Liêm)</t>
  </si>
  <si>
    <t>Learning (Đăng Khoa)</t>
  </si>
  <si>
    <t>Content CMS (Tuấn Nguyên)</t>
  </si>
  <si>
    <t>Billing (Khánh Duy)</t>
  </si>
  <si>
    <t>Đăng Khoa</t>
  </si>
  <si>
    <t>Tiến độ Hoàn thành</t>
  </si>
  <si>
    <t>identity-service</t>
  </si>
  <si>
    <t>UC-1, 2, 5.x, 6, 7.x, 8, 19.x</t>
  </si>
  <si>
    <t>Guest, Learner, Moderator, Admin</t>
  </si>
  <si>
    <t>TV02</t>
  </si>
  <si>
    <t>Thanh Liêm</t>
  </si>
  <si>
    <t>exam-engine-service</t>
  </si>
  <si>
    <t>UC-3.x, 9.x, 10.1, 14.x</t>
  </si>
  <si>
    <t>Learner</t>
  </si>
  <si>
    <t>TV03</t>
  </si>
  <si>
    <t>Khánh Duy</t>
  </si>
  <si>
    <t>learning-service</t>
  </si>
  <si>
    <t>UC-4, 10.2–10.3, 11.x–13.x, 20.x</t>
  </si>
  <si>
    <t>Learner, Admin</t>
  </si>
  <si>
    <t>TV04</t>
  </si>
  <si>
    <t>Tuấn Nguyên</t>
  </si>
  <si>
    <t>content-service</t>
  </si>
  <si>
    <t>UC-16.x, 17.x, 18.x</t>
  </si>
  <si>
    <t>Moderator, Admin</t>
  </si>
  <si>
    <t>TV05</t>
  </si>
  <si>
    <t>Gia Huy</t>
  </si>
  <si>
    <t>billing-service</t>
  </si>
  <si>
    <t>UC-15.x, 21.x, 22</t>
  </si>
  <si>
    <t>4. Ma trận chức năng — Actor (Tóm tắt các nhóm)</t>
  </si>
  <si>
    <t>STT</t>
  </si>
  <si>
    <t>Nhóm Chức Năng</t>
  </si>
  <si>
    <t>Mã UC</t>
  </si>
  <si>
    <t>Tên Chức Năng</t>
  </si>
  <si>
    <t>Mô Tả Chi Tiết Chức Năng</t>
  </si>
  <si>
    <t>Microservice Phụ Trách</t>
  </si>
  <si>
    <t>Guest (A1)</t>
  </si>
  <si>
    <t>Learner (A2)</t>
  </si>
  <si>
    <t>Moderator (A3)</t>
  </si>
  <si>
    <t>Admin (A4)</t>
  </si>
  <si>
    <t>Identity &amp; Tài khoản</t>
  </si>
  <si>
    <t>UC-1</t>
  </si>
  <si>
    <t>Register with Email</t>
  </si>
  <si>
    <t>Đăng ký tài khoản bằng email</t>
  </si>
  <si>
    <t>●</t>
  </si>
  <si>
    <t>UC-2</t>
  </si>
  <si>
    <t>Verify OTP</t>
  </si>
  <si>
    <t>Xác thực OTP 6 số để kích hoạt tài khoản</t>
  </si>
  <si>
    <t>UC-5.1</t>
  </si>
  <si>
    <t>Login with Email</t>
  </si>
  <si>
    <t>Đăng nhập email + mật khẩu</t>
  </si>
  <si>
    <t>feature name (UC)</t>
  </si>
  <si>
    <t>UC-5.2</t>
  </si>
  <si>
    <t>Login with Google</t>
  </si>
  <si>
    <t>Đăng nhập OAuth2 Google, merge email trùng</t>
  </si>
  <si>
    <t>content</t>
  </si>
  <si>
    <t>incharge full name</t>
  </si>
  <si>
    <t>time begin</t>
  </si>
  <si>
    <t>time end</t>
  </si>
  <si>
    <t>status</t>
  </si>
  <si>
    <t>note</t>
  </si>
  <si>
    <t>UC-6</t>
  </si>
  <si>
    <t>Logout</t>
  </si>
  <si>
    <t>Đăng xuất, hủy phiên / token</t>
  </si>
  <si>
    <t>UC-7.1</t>
  </si>
  <si>
    <t>View Profile</t>
  </si>
  <si>
    <t>Xem hồ sơ cá nhân</t>
  </si>
  <si>
    <t>UC-7.2</t>
  </si>
  <si>
    <t>Edit Profile</t>
  </si>
  <si>
    <t>Sửa tên hiển thị, ảnh đại diện</t>
  </si>
  <si>
    <t>Dương Châu Đăng Khoa</t>
  </si>
  <si>
    <t>UC-7.3</t>
  </si>
  <si>
    <t>Change Password</t>
  </si>
  <si>
    <t>2026-10-01</t>
  </si>
  <si>
    <t>Đổi mật khẩu</t>
  </si>
  <si>
    <t>2026-10-07</t>
  </si>
  <si>
    <t>UC-8</t>
  </si>
  <si>
    <t>Forgot Password</t>
  </si>
  <si>
    <t>Khôi phục mật khẩu qua OTP</t>
  </si>
  <si>
    <t>UC-19.1</t>
  </si>
  <si>
    <t>View Accounts List</t>
  </si>
  <si>
    <t>Admin xem danh sách tài khoản</t>
  </si>
  <si>
    <t>UC-19.2</t>
  </si>
  <si>
    <t>View Account Detail</t>
  </si>
  <si>
    <t>Admin xem chi tiết + lịch sử tài khoản</t>
  </si>
  <si>
    <t>UC-19.3</t>
  </si>
  <si>
    <t>Update Account Status</t>
  </si>
  <si>
    <t>Admin khóa / mở khóa tài khoản</t>
  </si>
  <si>
    <t>○</t>
  </si>
  <si>
    <t>UC-19.4</t>
  </si>
  <si>
    <t>Assign Roles</t>
  </si>
  <si>
    <t>Admin gán role (Learner / Moderator / Admin)</t>
  </si>
  <si>
    <t>Exam Engine</t>
  </si>
  <si>
    <t>UC-3.1</t>
  </si>
  <si>
    <t>In Progress</t>
  </si>
  <si>
    <t>View Exams (Learner)</t>
  </si>
  <si>
    <t>Xem danh sách đề thi công khai</t>
  </si>
  <si>
    <t>identity-service · Đăng ký tài khoản email · DB: Users, OTP</t>
  </si>
  <si>
    <t>UC-3.2</t>
  </si>
  <si>
    <t>View Exam Detail (Learner)</t>
  </si>
  <si>
    <t>Xem cấu trúc / thời gian / số câu của đề</t>
  </si>
  <si>
    <t>UC-3.3</t>
  </si>
  <si>
    <t>Search Exams (Learner)</t>
  </si>
  <si>
    <t>Tìm đề theo từ khóa</t>
  </si>
  <si>
    <t>UC-3.4</t>
  </si>
  <si>
    <t>Filter Exams (Learner)</t>
  </si>
  <si>
    <t>Lọc đề theo năm, độ khó, lượt thi…</t>
  </si>
  <si>
    <t>UC-9.1</t>
  </si>
  <si>
    <t>Start Full Test</t>
  </si>
  <si>
    <t>Bắt đầu Full Test 7 Parts + đếm ngược</t>
  </si>
  <si>
    <t>identity-service · Xác thực OTP 6 số kích hoạt tài khoản</t>
  </si>
  <si>
    <t>UC-9.2</t>
  </si>
  <si>
    <t>Practice by Part</t>
  </si>
  <si>
    <t>Luyện tập theo từng Part 1–7</t>
  </si>
  <si>
    <t>UC-9.3</t>
  </si>
  <si>
    <t>Play Audio</t>
  </si>
  <si>
    <t>Phát audio Listening; Full Test hạn chế tua/tạm dừng</t>
  </si>
  <si>
    <t>UC-9.4</t>
  </si>
  <si>
    <t>identity-service · Đăng nhập email + password (JWT)</t>
  </si>
  <si>
    <t>Submit Test</t>
  </si>
  <si>
    <t>Nộp bài (chủ động / hết giờ), chấm điểm, lưu</t>
  </si>
  <si>
    <t>UC-9.5</t>
  </si>
  <si>
    <t>Resume Test</t>
  </si>
  <si>
    <t>Tiếp tục bài thi bị gián đoạn</t>
  </si>
  <si>
    <t>2026-10-08</t>
  </si>
  <si>
    <t>2026-10-14</t>
  </si>
  <si>
    <t>Not Started</t>
  </si>
  <si>
    <t>UC-10.1</t>
  </si>
  <si>
    <t>Review Test Results</t>
  </si>
  <si>
    <t>identity-service · Đăng nhập OAuth2 Google, merge email trùng</t>
  </si>
  <si>
    <t>Xem đúng/sai, đáp án, giải thích sau nộp</t>
  </si>
  <si>
    <t>UC-14.1</t>
  </si>
  <si>
    <t>View Study History</t>
  </si>
  <si>
    <t>Timeline lịch sử học tập</t>
  </si>
  <si>
    <t>UC-14.2</t>
  </si>
  <si>
    <t>View Exam Attempts</t>
  </si>
  <si>
    <t>Danh sách lượt thi + điểm</t>
  </si>
  <si>
    <t>identity-service · Đăng xuất, revoking JWT/refresh token</t>
  </si>
  <si>
    <t>UC-14.3</t>
  </si>
  <si>
    <t>Review Incorrect Answers</t>
  </si>
  <si>
    <t>Gom câu đã làm sai để ôn</t>
  </si>
  <si>
    <t>Learning</t>
  </si>
  <si>
    <t>UC-4</t>
  </si>
  <si>
    <t>View Leaderboard</t>
  </si>
  <si>
    <t>Bảng xếp hạng điểm / streak</t>
  </si>
  <si>
    <t>identity-service · Xem thông tin hồ sơ cá nhân</t>
  </si>
  <si>
    <t>UC-10.2</t>
  </si>
  <si>
    <t>View Performance Analysis</t>
  </si>
  <si>
    <t>Phân tích mạnh/yếu Listening–Reading</t>
  </si>
  <si>
    <t>UC-10.3</t>
  </si>
  <si>
    <t>View Score Progress</t>
  </si>
  <si>
    <t>Biểu đồ tiến độ điểm qua các lần thi</t>
  </si>
  <si>
    <t>identity-service · Cập nhật tên hiển thị, avatar</t>
  </si>
  <si>
    <t>UC-11.1</t>
  </si>
  <si>
    <t>Review Flashcards</t>
  </si>
  <si>
    <t>Ôn thẻ từ vựng</t>
  </si>
  <si>
    <t>UC-11.2</t>
  </si>
  <si>
    <t>Rate Memorization</t>
  </si>
  <si>
    <t>Đánh giá nhớ → cập nhật Interval (SRS)</t>
  </si>
  <si>
    <t>UC-11.3</t>
  </si>
  <si>
    <t>Save Vocabulary</t>
  </si>
  <si>
    <t>Lưu từ vào sổ tay (chống trùng)</t>
  </si>
  <si>
    <t>identity-service · Đổi mật khẩu tài khoản</t>
  </si>
  <si>
    <t>UC-11.4</t>
  </si>
  <si>
    <t>View Vocabulary List</t>
  </si>
  <si>
    <t>Danh sách từ đã lưu</t>
  </si>
  <si>
    <t>UC-11.5</t>
  </si>
  <si>
    <t>Remove Saved Vocabulary</t>
  </si>
  <si>
    <t>Xóa từ khỏi sổ tay</t>
  </si>
  <si>
    <t>identity-service · Quên mật khẩu &amp; khôi phục qua OTP</t>
  </si>
  <si>
    <t>UC-12.1</t>
  </si>
  <si>
    <t>View Vocabulary Passage</t>
  </si>
  <si>
    <t>Xem ngữ cảnh đoạn văn của từ</t>
  </si>
  <si>
    <t>UC-12.2</t>
  </si>
  <si>
    <t>2026-11-01</t>
  </si>
  <si>
    <t>Look Up Vocabulary</t>
  </si>
  <si>
    <t>2026-11-07</t>
  </si>
  <si>
    <t>Tra cứu nghĩa / từ loại / phát âm / ví dụ</t>
  </si>
  <si>
    <t>identity-service · Admin xem danh sách tài khoản toàn hệ thống</t>
  </si>
  <si>
    <t>UC-13.1</t>
  </si>
  <si>
    <t>View Achievements</t>
  </si>
  <si>
    <t>Xem huy hiệu đã đạt / điều kiện mở khóa</t>
  </si>
  <si>
    <t>UC-13.2</t>
  </si>
  <si>
    <t>View Study Streak</t>
  </si>
  <si>
    <t>Chuỗi ngày học (reset UTC+7 nếu không hoạt động)</t>
  </si>
  <si>
    <t>identity-service · Admin xem chi tiết &amp; lịch sử tài khoản</t>
  </si>
  <si>
    <t>UC-20.1</t>
  </si>
  <si>
    <t>View Learning Progress Reports</t>
  </si>
  <si>
    <t>Admin: báo cáo tiến độ học tổng hợp</t>
  </si>
  <si>
    <t>UC-20.2</t>
  </si>
  <si>
    <t>View User Statistics</t>
  </si>
  <si>
    <t>Admin: đăng ký mới, kích hoạt, retention</t>
  </si>
  <si>
    <t>identity-service · Admin khóa / mở khóa tài khoản (Event AccountLocked)</t>
  </si>
  <si>
    <t>UC-20.3</t>
  </si>
  <si>
    <t>View Exam Statistics</t>
  </si>
  <si>
    <t>Admin: lượt làm, điểm TB, tỷ lệ hoàn thành đề</t>
  </si>
  <si>
    <t>Content CMS</t>
  </si>
  <si>
    <t>UC-16.1</t>
  </si>
  <si>
    <t>View Exams (CMS)</t>
  </si>
  <si>
    <t>Danh sách đề + trạng thái ẩn/hiện</t>
  </si>
  <si>
    <t>identity-service · Admin gán role (Learner, Moderator, Admin)</t>
  </si>
  <si>
    <t>UC-16.2</t>
  </si>
  <si>
    <t>Create Exam</t>
  </si>
  <si>
    <t>Tạo đề mới (tên, part, thời gian)</t>
  </si>
  <si>
    <t>UC-16.3</t>
  </si>
  <si>
    <t>View Exam Detail (CMS)</t>
  </si>
  <si>
    <t>Chi tiết cấu trúc + thống kê đề</t>
  </si>
  <si>
    <t>UC-16.4</t>
  </si>
  <si>
    <t>Update Exam</t>
  </si>
  <si>
    <t>Sửa đề / câu hỏi / xuất bản</t>
  </si>
  <si>
    <t>Hồng Tuấn Nguyên</t>
  </si>
  <si>
    <t>UC-16.5</t>
  </si>
  <si>
    <t>Delete Exam</t>
  </si>
  <si>
    <t>Soft delete nếu đã có lịch sử làm bài</t>
  </si>
  <si>
    <t>UC-16.6</t>
  </si>
  <si>
    <t>Search Exams (CMS)</t>
  </si>
  <si>
    <t>Tìm đề (back-office)</t>
  </si>
  <si>
    <t>UC-16.7</t>
  </si>
  <si>
    <t>Filter Exams (CMS)</t>
  </si>
  <si>
    <t>Lọc đề theo trạng thái quản trị</t>
  </si>
  <si>
    <t>content-service · CMS xem danh sách đề + trạng thái ẩn/hiện</t>
  </si>
  <si>
    <t>UC-17.1</t>
  </si>
  <si>
    <t>View Questions</t>
  </si>
  <si>
    <t>Danh sách ngân hàng câu hỏi</t>
  </si>
  <si>
    <t>UC-17.2</t>
  </si>
  <si>
    <t>Create Question</t>
  </si>
  <si>
    <t>Tạo câu hỏi + đáp án + gán Part 1–7</t>
  </si>
  <si>
    <t>content-service · CMS tạo đề thi mới (tên, part, thời gian)</t>
  </si>
  <si>
    <t>UC-17.3</t>
  </si>
  <si>
    <t>View Question Detail</t>
  </si>
  <si>
    <t>Chi tiết câu hỏi + đề đang nhúng</t>
  </si>
  <si>
    <t>UC-17.4</t>
  </si>
  <si>
    <t>Update Question</t>
  </si>
  <si>
    <t>Sửa nội dung / audio / đáp án</t>
  </si>
  <si>
    <t>UC-17.5</t>
  </si>
  <si>
    <t>Delete Question</t>
  </si>
  <si>
    <t>Xóa; cảnh báo nếu thuộc đề đang active</t>
  </si>
  <si>
    <t>UC-17.6</t>
  </si>
  <si>
    <t>Search Questions</t>
  </si>
  <si>
    <t>Tìm theo nội dung text</t>
  </si>
  <si>
    <t>UC-17.7</t>
  </si>
  <si>
    <t>Filter Questions</t>
  </si>
  <si>
    <t>Lọc theo Part / độ khó</t>
  </si>
  <si>
    <t>UC-18.1</t>
  </si>
  <si>
    <t>View Passages</t>
  </si>
  <si>
    <t>Danh sách đoạn văn đọc hiểu</t>
  </si>
  <si>
    <t>UC-18.2</t>
  </si>
  <si>
    <t>Create Passage</t>
  </si>
  <si>
    <t>Tạo đoạn văn mới</t>
  </si>
  <si>
    <t>UC-18.3</t>
  </si>
  <si>
    <t>View Passage Detail</t>
  </si>
  <si>
    <t>Xem chi tiết đoạn văn</t>
  </si>
  <si>
    <t>content-service · CMS xem chi tiết cấu trúc &amp; thống kê đề</t>
  </si>
  <si>
    <t>UC-18.4</t>
  </si>
  <si>
    <t>Update Passage</t>
  </si>
  <si>
    <t>Cập nhật đoạn văn</t>
  </si>
  <si>
    <t>UC-18.5</t>
  </si>
  <si>
    <t>Delete Passage</t>
  </si>
  <si>
    <t>Xóa; ràng buộc Part 6–7 không orphan</t>
  </si>
  <si>
    <t>Billing &amp; Notification</t>
  </si>
  <si>
    <t>UC-15</t>
  </si>
  <si>
    <t>View Notifications</t>
  </si>
  <si>
    <t>Xem danh sách thông báo</t>
  </si>
  <si>
    <t>content-service · CMS cập nhật đề / xuất bản đề thi</t>
  </si>
  <si>
    <t>UC-15.1</t>
  </si>
  <si>
    <t>Mark Notification as Read</t>
  </si>
  <si>
    <t>Đánh dấu đã đọc</t>
  </si>
  <si>
    <t>UC-21.1</t>
  </si>
  <si>
    <t>View Pricing Plans</t>
  </si>
  <si>
    <t>Xem bảng giá Free / Pro (tháng, quý)</t>
  </si>
  <si>
    <t>content-service · CMS xóa đề (Soft delete nếu đã có attempt)</t>
  </si>
  <si>
    <t>UC-21.2</t>
  </si>
  <si>
    <t>Checkout VNPay</t>
  </si>
  <si>
    <t>Tạo Order Pending + redirect VNPay</t>
  </si>
  <si>
    <t>UC-21.3</t>
  </si>
  <si>
    <t>Handle Payment Return</t>
  </si>
  <si>
    <t>Xác minh chữ ký Return URL, kích hoạt Pro (idempotent)</t>
  </si>
  <si>
    <t>content-service · CMS tìm kiếm đề thi</t>
  </si>
  <si>
    <t>UC-21.4</t>
  </si>
  <si>
    <t>Handle Payment IPN</t>
  </si>
  <si>
    <t>Nhận IPN server-to-server từ VNPay</t>
  </si>
  <si>
    <t>UC-21.5</t>
  </si>
  <si>
    <t>Enforce Freemium Quotas</t>
  </si>
  <si>
    <t>Giới hạn Full Test / Practice / Vocab theo gói</t>
  </si>
  <si>
    <t>content-service · CMS lọc đề theo trạng thái quản trị</t>
  </si>
  <si>
    <t>UC-21.6</t>
  </si>
  <si>
    <t>Admin View Orders / Grant Pro</t>
  </si>
  <si>
    <t>Admin xem order + cấp Pro thủ công</t>
  </si>
  <si>
    <t>UC-22</t>
  </si>
  <si>
    <t>AI QnA (optional scope)</t>
  </si>
  <si>
    <t>Hỗ trợ hỏi–đáp / trợ lý học tập (nếu giữ trong scope)</t>
  </si>
  <si>
    <t>content-service · Danh sách ngân hàng câu hỏi</t>
  </si>
  <si>
    <t>content-service · Tạo câu hỏi + đáp án + gán Part 1–7</t>
  </si>
  <si>
    <t>content-service · Chi tiết câu hỏi + các đề đang nhúng</t>
  </si>
  <si>
    <t>content-service · Cập nhật câu hỏi / audio / đáp án</t>
  </si>
  <si>
    <t>content-service · Xóa câu hỏi (Cảnh báo nếu thuộc đề active)</t>
  </si>
  <si>
    <t>content-service · Tìm câu hỏi theo từ khóa text</t>
  </si>
  <si>
    <t>content-service · Lọc câu hỏi theo Part 1–7 và độ khó</t>
  </si>
  <si>
    <t>content-service · Danh sách đoạn văn đọc hiểu Part 6–7</t>
  </si>
  <si>
    <t>content-service · Tạo đoạn văn mới</t>
  </si>
  <si>
    <t>content-service · Xem chi tiết đoạn văn đọc hiểu</t>
  </si>
  <si>
    <t>content-service · Cập nhật nội dung đoạn văn</t>
  </si>
  <si>
    <t>content-service · Xóa đoạn văn (Ràng buộc Part 6-7 không orphan)</t>
  </si>
  <si>
    <t>Đặng Thanh Liêm</t>
  </si>
  <si>
    <t>2026-10-15</t>
  </si>
  <si>
    <t>2026-10-21</t>
  </si>
  <si>
    <t>exam-engine-service · Xem danh sách đề thi công khai</t>
  </si>
  <si>
    <t>exam-engine-service · Xem cấu trúc/thời gian/số câu của đề</t>
  </si>
  <si>
    <t>exam-engine-service · Tìm kiếm đề thi phía Learner</t>
  </si>
  <si>
    <t>exam-engine-service · Lọc đề theo năm, độ khó, lượt thi</t>
  </si>
  <si>
    <t>exam-engine-service · Bắt đầu Full Test 7 Parts + đếm ngược (Check quota TV05)</t>
  </si>
  <si>
    <t>exam-engine-service · Luyện tập theo từng Part 1–7</t>
  </si>
  <si>
    <t>2026-10-22</t>
  </si>
  <si>
    <t>2026-10-31</t>
  </si>
  <si>
    <t>exam-engine-service · Phát audio Listening (Full Test hạn chế tua)</t>
  </si>
  <si>
    <t>exam-engine-service · Nộp bài, chấm điểm, lưu DB &amp; Publish TestSubmitted</t>
  </si>
  <si>
    <t>exam-engine-service · Tiếp tục bài thi gián đoạn</t>
  </si>
  <si>
    <t>exam-engine-service · Xem đúng/sai, đáp án, giải thích chi tiết</t>
  </si>
  <si>
    <t>exam-engine-service · Timeline lịch sử thi &amp; làm bài</t>
  </si>
  <si>
    <t>exam-engine-service · Danh sách các lượt thi + điểm số</t>
  </si>
  <si>
    <t>exam-engine-service · Tập hợp các câu làm sai để ôn tập</t>
  </si>
  <si>
    <t>Hứa Khánh Duy</t>
  </si>
  <si>
    <t>learning-service · Bảng xếp hạng điểm &amp; streak</t>
  </si>
  <si>
    <t>learning-service · Phân tích mạnh/yếu Listening-Reading</t>
  </si>
  <si>
    <t>learning-service · Biểu đồ tiến độ điểm thi qua các lần</t>
  </si>
  <si>
    <t>learning-service · Ôn thẻ từ vựng Flashcards</t>
  </si>
  <si>
    <t>learning-service · Đánh giá mức độ nhớ → thuật toán SRS (Spaced Repetition)</t>
  </si>
  <si>
    <t>learning-service · Lưu từ vào sổ tay cá nhân</t>
  </si>
  <si>
    <t>learning-service · Danh sách các từ vựng đã lưu</t>
  </si>
  <si>
    <t>learning-service · Xóa từ khỏi sổ tay</t>
  </si>
  <si>
    <t>learning-service · Xem ngữ cảnh đoạn văn của từ</t>
  </si>
  <si>
    <t>learning-service · Tra cứu nghĩa / từ loại / ví dụ</t>
  </si>
  <si>
    <t>learning-service · Xem danh sách huy hiệu &amp; điều kiện mở khóa</t>
  </si>
  <si>
    <t>learning-service · Chuỗi ngày học (Consume TestSubmitted từ TV02)</t>
  </si>
  <si>
    <t>2026-11-08</t>
  </si>
  <si>
    <t>2026-11-14</t>
  </si>
  <si>
    <t>learning-service · Admin: Báo cáo tiến độ học tổng hợp (Cache Redis)</t>
  </si>
  <si>
    <t>learning-service · Admin: Thống kê đăng ký mới, retention</t>
  </si>
  <si>
    <t>learning-service · Admin: Lượt làm, điểm TB, tỷ lệ hoàn thành đề</t>
  </si>
  <si>
    <t>Đỗ Hồ Gia Huy</t>
  </si>
  <si>
    <t>billing-service · Xem danh sách thông báo hệ thống</t>
  </si>
  <si>
    <t>billing-service · Đánh dấu thông báo đã đọc</t>
  </si>
  <si>
    <t>billing-service · Xem bảng giá gói Free / Pro</t>
  </si>
  <si>
    <t>billing-service · Tạo Order Pending + redirect cổng VNPay</t>
  </si>
  <si>
    <t>billing-service · Xác minh chữ ký Return URL &amp; kích hoạt Pro</t>
  </si>
  <si>
    <t>billing-service · Xử lý IPN server-to-server từ VNPay (Idempotent)</t>
  </si>
  <si>
    <t>billing-service · Kiểm soát hạn mức Freemium cho các service</t>
  </si>
  <si>
    <t>billing-service · Admin xem danh sách order &amp; cấp Pro thủ công</t>
  </si>
  <si>
    <t>2026-11-15</t>
  </si>
  <si>
    <t>2026-11-30</t>
  </si>
  <si>
    <t>billing-service · Trợ lý AI hỏi đáp học tập (Scope mở rộng)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</si>
</sst>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1.0"/>
      <color theme="1"/>
      <name val="Calibri"/>
      <scheme val="minor"/>
    </font>
    <font>
      <b/>
      <sz val="16.0"/>
      <color rgb="FF2F5496"/>
      <name val="Calibri"/>
    </font>
    <font>
      <b/>
      <sz val="11.0"/>
      <color theme="1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>
      <b/>
      <sz val="9.0"/>
      <color rgb="FF595959"/>
      <name val="Calibri"/>
    </font>
    <font>
      <sz val="11.0"/>
      <color theme="1"/>
      <name val="Calibri"/>
    </font>
    <font>
      <b/>
      <color rgb="FFFFFFFF"/>
      <name val="Calibri"/>
      <scheme val="minor"/>
    </font>
    <font>
      <b/>
      <sz val="14.0"/>
      <color rgb="FF2F5496"/>
      <name val="Calibri"/>
    </font>
    <font>
      <color rgb="FF000000"/>
      <name val="Calibri"/>
      <scheme val="minor"/>
    </font>
    <font>
      <b/>
      <color rgb="FF000000"/>
      <name val="Calibri"/>
      <scheme val="minor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2F4F8"/>
        <bgColor rgb="FFF2F4F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9FAFB"/>
        <bgColor rgb="FFF9FAFB"/>
      </patternFill>
    </fill>
    <fill>
      <patternFill patternType="solid">
        <fgColor rgb="FFC9DAF8"/>
        <bgColor rgb="FFC9DAF8"/>
      </patternFill>
    </fill>
  </fills>
  <borders count="4">
    <border/>
    <border>
      <left style="thin">
        <color rgb="FF2F5496"/>
      </left>
      <right style="thin">
        <color rgb="FF2F5496"/>
      </right>
      <top style="medium">
        <color rgb="FF2F5496"/>
      </top>
      <bottom style="medium">
        <color rgb="FF2F549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left" vertical="center"/>
    </xf>
    <xf borderId="3" fillId="2" fontId="7" numFmtId="0" xfId="0" applyAlignment="1" applyBorder="1" applyFill="1" applyFont="1">
      <alignment horizontal="center" readingOrder="0"/>
    </xf>
    <xf borderId="2" fillId="3" fontId="8" numFmtId="0" xfId="0" applyAlignment="1" applyBorder="1" applyFill="1" applyFont="1">
      <alignment horizontal="center" vertical="center"/>
    </xf>
    <xf borderId="2" fillId="4" fontId="9" numFmtId="0" xfId="0" applyAlignment="1" applyBorder="1" applyFill="1" applyFont="1">
      <alignment horizontal="center" readingOrder="0"/>
    </xf>
    <xf borderId="2" fillId="4" fontId="9" numFmtId="0" xfId="0" applyAlignment="1" applyBorder="1" applyFill="1" applyFont="1">
      <alignment horizontal="left" readingOrder="0"/>
    </xf>
    <xf borderId="2" fillId="4" fontId="10" numFmtId="0" xfId="0" applyAlignment="1" applyBorder="1" applyFill="1" applyFont="1">
      <alignment horizontal="center" readingOrder="0"/>
    </xf>
    <xf borderId="2" fillId="4" fontId="11" numFmtId="0" xfId="0" applyAlignment="1" applyBorder="1" applyFill="1" applyFont="1">
      <alignment horizontal="center"/>
    </xf>
    <xf borderId="2" fillId="5" fontId="9" numFmtId="0" xfId="0" applyAlignment="1" applyBorder="1" applyFill="1" applyFont="1">
      <alignment horizontal="center" readingOrder="0"/>
    </xf>
    <xf borderId="2" fillId="5" fontId="9" numFmtId="0" xfId="0" applyAlignment="1" applyBorder="1" applyFill="1" applyFont="1">
      <alignment horizontal="left" readingOrder="0"/>
    </xf>
    <xf borderId="2" fillId="5" fontId="10" numFmtId="0" xfId="0" applyAlignment="1" applyBorder="1" applyFill="1" applyFont="1">
      <alignment horizontal="center" readingOrder="0"/>
    </xf>
    <xf borderId="2" fillId="5" fontId="11" numFmtId="0" xfId="0" applyAlignment="1" applyBorder="1" applyFill="1" applyFont="1">
      <alignment horizontal="center"/>
    </xf>
    <xf borderId="2" fillId="3" fontId="8" numFmtId="164" xfId="0" applyAlignment="1" applyBorder="1" applyFill="1" applyFont="1" applyNumberFormat="1">
      <alignment horizontal="center" vertical="center"/>
    </xf>
    <xf borderId="1" fillId="2" fontId="4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vertical="center"/>
    </xf>
    <xf borderId="2" fillId="6" fontId="6" numFmtId="0" xfId="0" applyAlignment="1" applyBorder="1" applyFill="1" applyFont="1">
      <alignment horizontal="left" vertical="center"/>
    </xf>
    <xf borderId="2" fillId="6" fontId="6" numFmtId="0" xfId="0" applyAlignment="1" applyBorder="1" applyFill="1" applyFont="1">
      <alignment horizontal="left" readingOrder="0" vertical="center"/>
    </xf>
    <xf borderId="2" fillId="6" fontId="6" numFmtId="0" xfId="0" applyAlignment="1" applyBorder="1" applyFill="1" applyFont="1">
      <alignment horizontal="center" vertical="center"/>
    </xf>
    <xf borderId="2" fillId="6" fontId="6" numFmtId="0" xfId="0" applyAlignment="1" applyBorder="1" applyFill="1" applyFont="1">
      <alignment horizontal="center" readingOrder="0" vertical="center"/>
    </xf>
    <xf borderId="0" fillId="6" fontId="11" numFmtId="0" xfId="0" applyFill="1" applyFont="1"/>
    <xf borderId="2" fillId="7" fontId="2" numFmtId="0" xfId="0" applyAlignment="1" applyBorder="1" applyFill="1" applyFont="1">
      <alignment horizontal="center" vertical="center"/>
    </xf>
    <xf borderId="2" fillId="7" fontId="6" numFmtId="0" xfId="0" applyAlignment="1" applyBorder="1" applyFill="1" applyFont="1">
      <alignment horizontal="left" vertical="center"/>
    </xf>
    <xf borderId="2" fillId="7" fontId="6" numFmtId="0" xfId="0" applyAlignment="1" applyBorder="1" applyFill="1" applyFont="1">
      <alignment horizontal="left" readingOrder="0" vertical="center"/>
    </xf>
    <xf borderId="2" fillId="7" fontId="6" numFmtId="0" xfId="0" applyAlignment="1" applyBorder="1" applyFill="1" applyFont="1">
      <alignment horizontal="center" vertical="center"/>
    </xf>
    <xf borderId="2" fillId="7" fontId="6" numFmtId="0" xfId="0" applyAlignment="1" applyBorder="1" applyFill="1" applyFont="1">
      <alignment horizontal="center" readingOrder="0" vertical="center"/>
    </xf>
    <xf borderId="0" fillId="7" fontId="11" numFmtId="0" xfId="0" applyFill="1" applyFont="1"/>
    <xf borderId="2" fillId="8" fontId="2" numFmtId="0" xfId="0" applyAlignment="1" applyBorder="1" applyFill="1" applyFont="1">
      <alignment horizontal="center" vertical="center"/>
    </xf>
    <xf borderId="2" fillId="8" fontId="6" numFmtId="0" xfId="0" applyAlignment="1" applyBorder="1" applyFill="1" applyFont="1">
      <alignment horizontal="left" vertical="center"/>
    </xf>
    <xf borderId="2" fillId="8" fontId="6" numFmtId="0" xfId="0" applyAlignment="1" applyBorder="1" applyFill="1" applyFont="1">
      <alignment horizontal="left" readingOrder="0" vertical="center"/>
    </xf>
    <xf borderId="2" fillId="8" fontId="6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center" vertical="center"/>
    </xf>
    <xf borderId="2" fillId="9" fontId="2" numFmtId="0" xfId="0" applyAlignment="1" applyBorder="1" applyFill="1" applyFont="1">
      <alignment horizontal="center" vertical="center"/>
    </xf>
    <xf borderId="2" fillId="9" fontId="6" numFmtId="0" xfId="0" applyAlignment="1" applyBorder="1" applyFill="1" applyFont="1">
      <alignment horizontal="left" vertical="center"/>
    </xf>
    <xf borderId="2" fillId="9" fontId="6" numFmtId="0" xfId="0" applyAlignment="1" applyBorder="1" applyFill="1" applyFont="1">
      <alignment horizontal="left" readingOrder="0" vertical="center"/>
    </xf>
    <xf borderId="2" fillId="9" fontId="6" numFmtId="0" xfId="0" applyAlignment="1" applyBorder="1" applyFill="1" applyFont="1">
      <alignment horizontal="center" vertical="center"/>
    </xf>
    <xf borderId="0" fillId="9" fontId="1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22.0"/>
    <col customWidth="1" min="4" max="5" width="15.0"/>
    <col customWidth="1" min="6" max="6" width="16.0"/>
    <col customWidth="1" min="7" max="7" width="65.0"/>
    <col customWidth="1" min="8" max="26" width="8.71"/>
  </cols>
  <sheetData>
    <row r="1">
      <c r="A1" s="2" t="s">
        <v>1</v>
      </c>
    </row>
    <row r="2">
      <c r="A2" s="4" t="s">
        <v>3</v>
      </c>
    </row>
    <row r="4">
      <c r="A4" s="6" t="s">
        <v>5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17</v>
      </c>
    </row>
    <row r="5">
      <c r="A5" s="11">
        <f>COUNTA(A7:A73)</f>
        <v>67</v>
      </c>
      <c r="B5" s="11">
        <f>COUNTIF(C7:C73, "*Gia Huy*")</f>
        <v>7</v>
      </c>
      <c r="C5" s="11">
        <f>COUNTIF(C7:C73, "*Thanh Liêm*")</f>
        <v>13</v>
      </c>
      <c r="D5" s="11">
        <f>COUNTIF(C7:C73, "*Đăng Khoa*")</f>
        <v>13</v>
      </c>
      <c r="E5" s="11">
        <f>COUNTIF(C7:C73, "*Tuấn Nguyên*")</f>
        <v>19</v>
      </c>
      <c r="F5" s="11">
        <f>COUNTIF(C7:C73, "*Khánh Duy*")</f>
        <v>15</v>
      </c>
      <c r="G5" s="20">
        <f>COUNTIF(F7:F73, "Completed")/COUNTA(A7:A73)</f>
        <v>0</v>
      </c>
    </row>
    <row r="6" ht="27.75" customHeight="1">
      <c r="A6" s="21" t="s">
        <v>62</v>
      </c>
      <c r="B6" s="21" t="s">
        <v>66</v>
      </c>
      <c r="C6" s="21" t="s">
        <v>67</v>
      </c>
      <c r="D6" s="21" t="s">
        <v>68</v>
      </c>
      <c r="E6" s="21" t="s">
        <v>69</v>
      </c>
      <c r="F6" s="21" t="s">
        <v>70</v>
      </c>
      <c r="G6" s="21" t="s">
        <v>71</v>
      </c>
    </row>
    <row r="7">
      <c r="A7" s="22" t="s">
        <v>52</v>
      </c>
      <c r="B7" s="23" t="s">
        <v>53</v>
      </c>
      <c r="C7" s="24" t="s">
        <v>81</v>
      </c>
      <c r="D7" s="25" t="s">
        <v>84</v>
      </c>
      <c r="E7" s="25" t="s">
        <v>86</v>
      </c>
      <c r="F7" s="26" t="s">
        <v>105</v>
      </c>
      <c r="G7" s="23" t="s">
        <v>108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2" t="s">
        <v>56</v>
      </c>
      <c r="B8" s="23" t="s">
        <v>57</v>
      </c>
      <c r="C8" s="24" t="s">
        <v>81</v>
      </c>
      <c r="D8" s="25" t="s">
        <v>84</v>
      </c>
      <c r="E8" s="25" t="s">
        <v>86</v>
      </c>
      <c r="F8" s="26" t="s">
        <v>105</v>
      </c>
      <c r="G8" s="23" t="s">
        <v>121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2" t="s">
        <v>59</v>
      </c>
      <c r="B9" s="23" t="s">
        <v>60</v>
      </c>
      <c r="C9" s="24" t="s">
        <v>81</v>
      </c>
      <c r="D9" s="25" t="s">
        <v>84</v>
      </c>
      <c r="E9" s="25" t="s">
        <v>86</v>
      </c>
      <c r="F9" s="26" t="s">
        <v>105</v>
      </c>
      <c r="G9" s="23" t="s">
        <v>129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2" t="s">
        <v>63</v>
      </c>
      <c r="B10" s="23" t="s">
        <v>64</v>
      </c>
      <c r="C10" s="24" t="s">
        <v>81</v>
      </c>
      <c r="D10" s="25" t="s">
        <v>135</v>
      </c>
      <c r="E10" s="25" t="s">
        <v>136</v>
      </c>
      <c r="F10" s="25" t="s">
        <v>137</v>
      </c>
      <c r="G10" s="23" t="s">
        <v>140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2" t="s">
        <v>72</v>
      </c>
      <c r="B11" s="23" t="s">
        <v>73</v>
      </c>
      <c r="C11" s="24" t="s">
        <v>81</v>
      </c>
      <c r="D11" s="25" t="s">
        <v>135</v>
      </c>
      <c r="E11" s="25" t="s">
        <v>136</v>
      </c>
      <c r="F11" s="25" t="s">
        <v>137</v>
      </c>
      <c r="G11" s="23" t="s">
        <v>148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2" t="s">
        <v>75</v>
      </c>
      <c r="B12" s="23" t="s">
        <v>76</v>
      </c>
      <c r="C12" s="24" t="s">
        <v>81</v>
      </c>
      <c r="D12" s="25" t="s">
        <v>135</v>
      </c>
      <c r="E12" s="25" t="s">
        <v>136</v>
      </c>
      <c r="F12" s="25" t="s">
        <v>137</v>
      </c>
      <c r="G12" s="23" t="s">
        <v>156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2" t="s">
        <v>78</v>
      </c>
      <c r="B13" s="23" t="s">
        <v>79</v>
      </c>
      <c r="C13" s="24" t="s">
        <v>81</v>
      </c>
      <c r="D13" s="25" t="s">
        <v>135</v>
      </c>
      <c r="E13" s="25" t="s">
        <v>136</v>
      </c>
      <c r="F13" s="25" t="s">
        <v>137</v>
      </c>
      <c r="G13" s="23" t="s">
        <v>163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2" t="s">
        <v>82</v>
      </c>
      <c r="B14" s="23" t="s">
        <v>83</v>
      </c>
      <c r="C14" s="24" t="s">
        <v>81</v>
      </c>
      <c r="D14" s="25" t="s">
        <v>135</v>
      </c>
      <c r="E14" s="25" t="s">
        <v>136</v>
      </c>
      <c r="F14" s="25" t="s">
        <v>137</v>
      </c>
      <c r="G14" s="23" t="s">
        <v>173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2" t="s">
        <v>87</v>
      </c>
      <c r="B15" s="23" t="s">
        <v>88</v>
      </c>
      <c r="C15" s="24" t="s">
        <v>81</v>
      </c>
      <c r="D15" s="25" t="s">
        <v>135</v>
      </c>
      <c r="E15" s="25" t="s">
        <v>136</v>
      </c>
      <c r="F15" s="25" t="s">
        <v>137</v>
      </c>
      <c r="G15" s="23" t="s">
        <v>180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2" t="s">
        <v>90</v>
      </c>
      <c r="B16" s="23" t="s">
        <v>91</v>
      </c>
      <c r="C16" s="24" t="s">
        <v>81</v>
      </c>
      <c r="D16" s="25" t="s">
        <v>185</v>
      </c>
      <c r="E16" s="25" t="s">
        <v>187</v>
      </c>
      <c r="F16" s="25" t="s">
        <v>137</v>
      </c>
      <c r="G16" s="23" t="s">
        <v>189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2" t="s">
        <v>93</v>
      </c>
      <c r="B17" s="23" t="s">
        <v>94</v>
      </c>
      <c r="C17" s="24" t="s">
        <v>81</v>
      </c>
      <c r="D17" s="25" t="s">
        <v>185</v>
      </c>
      <c r="E17" s="25" t="s">
        <v>187</v>
      </c>
      <c r="F17" s="25" t="s">
        <v>137</v>
      </c>
      <c r="G17" s="23" t="s">
        <v>196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2" t="s">
        <v>96</v>
      </c>
      <c r="B18" s="23" t="s">
        <v>97</v>
      </c>
      <c r="C18" s="24" t="s">
        <v>81</v>
      </c>
      <c r="D18" s="25" t="s">
        <v>185</v>
      </c>
      <c r="E18" s="25" t="s">
        <v>187</v>
      </c>
      <c r="F18" s="25" t="s">
        <v>137</v>
      </c>
      <c r="G18" s="23" t="s">
        <v>203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2" t="s">
        <v>100</v>
      </c>
      <c r="B19" s="23" t="s">
        <v>101</v>
      </c>
      <c r="C19" s="24" t="s">
        <v>81</v>
      </c>
      <c r="D19" s="25" t="s">
        <v>185</v>
      </c>
      <c r="E19" s="25" t="s">
        <v>187</v>
      </c>
      <c r="F19" s="25" t="s">
        <v>137</v>
      </c>
      <c r="G19" s="23" t="s">
        <v>211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208</v>
      </c>
      <c r="B20" s="29" t="s">
        <v>209</v>
      </c>
      <c r="C20" s="30" t="s">
        <v>221</v>
      </c>
      <c r="D20" s="31" t="s">
        <v>84</v>
      </c>
      <c r="E20" s="31" t="s">
        <v>86</v>
      </c>
      <c r="F20" s="32" t="s">
        <v>105</v>
      </c>
      <c r="G20" s="29" t="s">
        <v>231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28" t="s">
        <v>212</v>
      </c>
      <c r="B21" s="29" t="s">
        <v>213</v>
      </c>
      <c r="C21" s="30" t="s">
        <v>221</v>
      </c>
      <c r="D21" s="31" t="s">
        <v>84</v>
      </c>
      <c r="E21" s="31" t="s">
        <v>86</v>
      </c>
      <c r="F21" s="32" t="s">
        <v>105</v>
      </c>
      <c r="G21" s="29" t="s">
        <v>238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28" t="s">
        <v>215</v>
      </c>
      <c r="B22" s="29" t="s">
        <v>216</v>
      </c>
      <c r="C22" s="30" t="s">
        <v>221</v>
      </c>
      <c r="D22" s="31" t="s">
        <v>84</v>
      </c>
      <c r="E22" s="31" t="s">
        <v>86</v>
      </c>
      <c r="F22" s="32" t="s">
        <v>105</v>
      </c>
      <c r="G22" s="29" t="s">
        <v>263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28" t="s">
        <v>218</v>
      </c>
      <c r="B23" s="29" t="s">
        <v>219</v>
      </c>
      <c r="C23" s="30" t="s">
        <v>221</v>
      </c>
      <c r="D23" s="31" t="s">
        <v>135</v>
      </c>
      <c r="E23" s="31" t="s">
        <v>136</v>
      </c>
      <c r="F23" s="31" t="s">
        <v>137</v>
      </c>
      <c r="G23" s="29" t="s">
        <v>274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28" t="s">
        <v>222</v>
      </c>
      <c r="B24" s="29" t="s">
        <v>223</v>
      </c>
      <c r="C24" s="30" t="s">
        <v>221</v>
      </c>
      <c r="D24" s="31" t="s">
        <v>135</v>
      </c>
      <c r="E24" s="31" t="s">
        <v>136</v>
      </c>
      <c r="F24" s="31" t="s">
        <v>137</v>
      </c>
      <c r="G24" s="29" t="s">
        <v>281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28" t="s">
        <v>225</v>
      </c>
      <c r="B25" s="29" t="s">
        <v>226</v>
      </c>
      <c r="C25" s="30" t="s">
        <v>221</v>
      </c>
      <c r="D25" s="31" t="s">
        <v>135</v>
      </c>
      <c r="E25" s="31" t="s">
        <v>136</v>
      </c>
      <c r="F25" s="31" t="s">
        <v>137</v>
      </c>
      <c r="G25" s="29" t="s">
        <v>288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28" t="s">
        <v>228</v>
      </c>
      <c r="B26" s="29" t="s">
        <v>229</v>
      </c>
      <c r="C26" s="30" t="s">
        <v>221</v>
      </c>
      <c r="D26" s="31" t="s">
        <v>135</v>
      </c>
      <c r="E26" s="31" t="s">
        <v>136</v>
      </c>
      <c r="F26" s="31" t="s">
        <v>137</v>
      </c>
      <c r="G26" s="29" t="s">
        <v>295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28" t="s">
        <v>232</v>
      </c>
      <c r="B27" s="29" t="s">
        <v>233</v>
      </c>
      <c r="C27" s="30" t="s">
        <v>221</v>
      </c>
      <c r="D27" s="31" t="s">
        <v>84</v>
      </c>
      <c r="E27" s="31" t="s">
        <v>86</v>
      </c>
      <c r="F27" s="32" t="s">
        <v>105</v>
      </c>
      <c r="G27" s="29" t="s">
        <v>302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28" t="s">
        <v>235</v>
      </c>
      <c r="B28" s="29" t="s">
        <v>236</v>
      </c>
      <c r="C28" s="30" t="s">
        <v>221</v>
      </c>
      <c r="D28" s="31" t="s">
        <v>84</v>
      </c>
      <c r="E28" s="31" t="s">
        <v>86</v>
      </c>
      <c r="F28" s="32" t="s">
        <v>105</v>
      </c>
      <c r="G28" s="29" t="s">
        <v>303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28" t="s">
        <v>239</v>
      </c>
      <c r="B29" s="29" t="s">
        <v>240</v>
      </c>
      <c r="C29" s="30" t="s">
        <v>221</v>
      </c>
      <c r="D29" s="31" t="s">
        <v>84</v>
      </c>
      <c r="E29" s="31" t="s">
        <v>86</v>
      </c>
      <c r="F29" s="32" t="s">
        <v>105</v>
      </c>
      <c r="G29" s="29" t="s">
        <v>304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28" t="s">
        <v>242</v>
      </c>
      <c r="B30" s="29" t="s">
        <v>243</v>
      </c>
      <c r="C30" s="30" t="s">
        <v>221</v>
      </c>
      <c r="D30" s="31" t="s">
        <v>135</v>
      </c>
      <c r="E30" s="31" t="s">
        <v>136</v>
      </c>
      <c r="F30" s="31" t="s">
        <v>137</v>
      </c>
      <c r="G30" s="29" t="s">
        <v>305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28" t="s">
        <v>245</v>
      </c>
      <c r="B31" s="29" t="s">
        <v>246</v>
      </c>
      <c r="C31" s="30" t="s">
        <v>221</v>
      </c>
      <c r="D31" s="31" t="s">
        <v>135</v>
      </c>
      <c r="E31" s="31" t="s">
        <v>136</v>
      </c>
      <c r="F31" s="31" t="s">
        <v>137</v>
      </c>
      <c r="G31" s="29" t="s">
        <v>306</v>
      </c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28" t="s">
        <v>248</v>
      </c>
      <c r="B32" s="29" t="s">
        <v>249</v>
      </c>
      <c r="C32" s="30" t="s">
        <v>221</v>
      </c>
      <c r="D32" s="31" t="s">
        <v>135</v>
      </c>
      <c r="E32" s="31" t="s">
        <v>136</v>
      </c>
      <c r="F32" s="31" t="s">
        <v>137</v>
      </c>
      <c r="G32" s="29" t="s">
        <v>307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28" t="s">
        <v>251</v>
      </c>
      <c r="B33" s="29" t="s">
        <v>252</v>
      </c>
      <c r="C33" s="30" t="s">
        <v>221</v>
      </c>
      <c r="D33" s="31" t="s">
        <v>135</v>
      </c>
      <c r="E33" s="31" t="s">
        <v>136</v>
      </c>
      <c r="F33" s="31" t="s">
        <v>137</v>
      </c>
      <c r="G33" s="29" t="s">
        <v>308</v>
      </c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28" t="s">
        <v>254</v>
      </c>
      <c r="B34" s="29" t="s">
        <v>255</v>
      </c>
      <c r="C34" s="30" t="s">
        <v>221</v>
      </c>
      <c r="D34" s="31" t="s">
        <v>84</v>
      </c>
      <c r="E34" s="31" t="s">
        <v>86</v>
      </c>
      <c r="F34" s="32" t="s">
        <v>105</v>
      </c>
      <c r="G34" s="29" t="s">
        <v>309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28" t="s">
        <v>257</v>
      </c>
      <c r="B35" s="29" t="s">
        <v>258</v>
      </c>
      <c r="C35" s="30" t="s">
        <v>221</v>
      </c>
      <c r="D35" s="31" t="s">
        <v>84</v>
      </c>
      <c r="E35" s="31" t="s">
        <v>86</v>
      </c>
      <c r="F35" s="32" t="s">
        <v>105</v>
      </c>
      <c r="G35" s="29" t="s">
        <v>310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28" t="s">
        <v>260</v>
      </c>
      <c r="B36" s="29" t="s">
        <v>261</v>
      </c>
      <c r="C36" s="30" t="s">
        <v>221</v>
      </c>
      <c r="D36" s="31" t="s">
        <v>84</v>
      </c>
      <c r="E36" s="31" t="s">
        <v>86</v>
      </c>
      <c r="F36" s="32" t="s">
        <v>105</v>
      </c>
      <c r="G36" s="29" t="s">
        <v>311</v>
      </c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28" t="s">
        <v>264</v>
      </c>
      <c r="B37" s="29" t="s">
        <v>265</v>
      </c>
      <c r="C37" s="30" t="s">
        <v>221</v>
      </c>
      <c r="D37" s="31" t="s">
        <v>135</v>
      </c>
      <c r="E37" s="31" t="s">
        <v>136</v>
      </c>
      <c r="F37" s="31" t="s">
        <v>137</v>
      </c>
      <c r="G37" s="29" t="s">
        <v>312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28" t="s">
        <v>267</v>
      </c>
      <c r="B38" s="29" t="s">
        <v>268</v>
      </c>
      <c r="C38" s="30" t="s">
        <v>221</v>
      </c>
      <c r="D38" s="31" t="s">
        <v>135</v>
      </c>
      <c r="E38" s="31" t="s">
        <v>136</v>
      </c>
      <c r="F38" s="31" t="s">
        <v>137</v>
      </c>
      <c r="G38" s="29" t="s">
        <v>313</v>
      </c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4" t="s">
        <v>104</v>
      </c>
      <c r="B39" s="35" t="s">
        <v>106</v>
      </c>
      <c r="C39" s="36" t="s">
        <v>314</v>
      </c>
      <c r="D39" s="37" t="s">
        <v>315</v>
      </c>
      <c r="E39" s="37" t="s">
        <v>316</v>
      </c>
      <c r="F39" s="37" t="s">
        <v>137</v>
      </c>
      <c r="G39" s="35" t="s">
        <v>317</v>
      </c>
    </row>
    <row r="40" ht="15.75" customHeight="1">
      <c r="A40" s="7" t="s">
        <v>109</v>
      </c>
      <c r="B40" s="9" t="s">
        <v>110</v>
      </c>
      <c r="C40" s="38" t="s">
        <v>314</v>
      </c>
      <c r="D40" s="39" t="s">
        <v>315</v>
      </c>
      <c r="E40" s="39" t="s">
        <v>316</v>
      </c>
      <c r="F40" s="39" t="s">
        <v>137</v>
      </c>
      <c r="G40" s="9" t="s">
        <v>318</v>
      </c>
    </row>
    <row r="41" ht="15.75" customHeight="1">
      <c r="A41" s="34" t="s">
        <v>112</v>
      </c>
      <c r="B41" s="35" t="s">
        <v>113</v>
      </c>
      <c r="C41" s="36" t="s">
        <v>314</v>
      </c>
      <c r="D41" s="37" t="s">
        <v>315</v>
      </c>
      <c r="E41" s="37" t="s">
        <v>316</v>
      </c>
      <c r="F41" s="37" t="s">
        <v>137</v>
      </c>
      <c r="G41" s="35" t="s">
        <v>319</v>
      </c>
    </row>
    <row r="42" ht="15.75" customHeight="1">
      <c r="A42" s="7" t="s">
        <v>115</v>
      </c>
      <c r="B42" s="9" t="s">
        <v>116</v>
      </c>
      <c r="C42" s="38" t="s">
        <v>314</v>
      </c>
      <c r="D42" s="39" t="s">
        <v>315</v>
      </c>
      <c r="E42" s="39" t="s">
        <v>316</v>
      </c>
      <c r="F42" s="39" t="s">
        <v>137</v>
      </c>
      <c r="G42" s="9" t="s">
        <v>320</v>
      </c>
    </row>
    <row r="43" ht="15.75" customHeight="1">
      <c r="A43" s="34" t="s">
        <v>118</v>
      </c>
      <c r="B43" s="35" t="s">
        <v>119</v>
      </c>
      <c r="C43" s="36" t="s">
        <v>314</v>
      </c>
      <c r="D43" s="37" t="s">
        <v>315</v>
      </c>
      <c r="E43" s="37" t="s">
        <v>316</v>
      </c>
      <c r="F43" s="37" t="s">
        <v>137</v>
      </c>
      <c r="G43" s="35" t="s">
        <v>321</v>
      </c>
    </row>
    <row r="44" ht="15.75" customHeight="1">
      <c r="A44" s="7" t="s">
        <v>122</v>
      </c>
      <c r="B44" s="9" t="s">
        <v>123</v>
      </c>
      <c r="C44" s="38" t="s">
        <v>314</v>
      </c>
      <c r="D44" s="39" t="s">
        <v>315</v>
      </c>
      <c r="E44" s="39" t="s">
        <v>316</v>
      </c>
      <c r="F44" s="39" t="s">
        <v>137</v>
      </c>
      <c r="G44" s="9" t="s">
        <v>322</v>
      </c>
    </row>
    <row r="45" ht="15.75" customHeight="1">
      <c r="A45" s="34" t="s">
        <v>125</v>
      </c>
      <c r="B45" s="35" t="s">
        <v>126</v>
      </c>
      <c r="C45" s="36" t="s">
        <v>314</v>
      </c>
      <c r="D45" s="37" t="s">
        <v>323</v>
      </c>
      <c r="E45" s="37" t="s">
        <v>324</v>
      </c>
      <c r="F45" s="37" t="s">
        <v>137</v>
      </c>
      <c r="G45" s="35" t="s">
        <v>325</v>
      </c>
    </row>
    <row r="46" ht="15.75" customHeight="1">
      <c r="A46" s="7" t="s">
        <v>128</v>
      </c>
      <c r="B46" s="9" t="s">
        <v>130</v>
      </c>
      <c r="C46" s="38" t="s">
        <v>314</v>
      </c>
      <c r="D46" s="39" t="s">
        <v>323</v>
      </c>
      <c r="E46" s="39" t="s">
        <v>324</v>
      </c>
      <c r="F46" s="39" t="s">
        <v>137</v>
      </c>
      <c r="G46" s="9" t="s">
        <v>326</v>
      </c>
    </row>
    <row r="47" ht="15.75" customHeight="1">
      <c r="A47" s="34" t="s">
        <v>132</v>
      </c>
      <c r="B47" s="35" t="s">
        <v>133</v>
      </c>
      <c r="C47" s="36" t="s">
        <v>314</v>
      </c>
      <c r="D47" s="37" t="s">
        <v>323</v>
      </c>
      <c r="E47" s="37" t="s">
        <v>324</v>
      </c>
      <c r="F47" s="37" t="s">
        <v>137</v>
      </c>
      <c r="G47" s="35" t="s">
        <v>327</v>
      </c>
    </row>
    <row r="48" ht="15.75" customHeight="1">
      <c r="A48" s="7" t="s">
        <v>138</v>
      </c>
      <c r="B48" s="9" t="s">
        <v>139</v>
      </c>
      <c r="C48" s="38" t="s">
        <v>314</v>
      </c>
      <c r="D48" s="39" t="s">
        <v>323</v>
      </c>
      <c r="E48" s="39" t="s">
        <v>324</v>
      </c>
      <c r="F48" s="39" t="s">
        <v>137</v>
      </c>
      <c r="G48" s="9" t="s">
        <v>328</v>
      </c>
    </row>
    <row r="49" ht="15.75" customHeight="1">
      <c r="A49" s="34" t="s">
        <v>142</v>
      </c>
      <c r="B49" s="35" t="s">
        <v>143</v>
      </c>
      <c r="C49" s="36" t="s">
        <v>314</v>
      </c>
      <c r="D49" s="37" t="s">
        <v>323</v>
      </c>
      <c r="E49" s="37" t="s">
        <v>324</v>
      </c>
      <c r="F49" s="37" t="s">
        <v>137</v>
      </c>
      <c r="G49" s="35" t="s">
        <v>329</v>
      </c>
    </row>
    <row r="50" ht="15.75" customHeight="1">
      <c r="A50" s="7" t="s">
        <v>145</v>
      </c>
      <c r="B50" s="9" t="s">
        <v>146</v>
      </c>
      <c r="C50" s="38" t="s">
        <v>314</v>
      </c>
      <c r="D50" s="39" t="s">
        <v>323</v>
      </c>
      <c r="E50" s="39" t="s">
        <v>324</v>
      </c>
      <c r="F50" s="39" t="s">
        <v>137</v>
      </c>
      <c r="G50" s="9" t="s">
        <v>330</v>
      </c>
    </row>
    <row r="51" ht="15.75" customHeight="1">
      <c r="A51" s="34" t="s">
        <v>149</v>
      </c>
      <c r="B51" s="35" t="s">
        <v>150</v>
      </c>
      <c r="C51" s="36" t="s">
        <v>314</v>
      </c>
      <c r="D51" s="37" t="s">
        <v>323</v>
      </c>
      <c r="E51" s="37" t="s">
        <v>324</v>
      </c>
      <c r="F51" s="37" t="s">
        <v>137</v>
      </c>
      <c r="G51" s="35" t="s">
        <v>331</v>
      </c>
    </row>
    <row r="52" ht="15.75" customHeight="1">
      <c r="A52" s="40" t="s">
        <v>153</v>
      </c>
      <c r="B52" s="41" t="s">
        <v>154</v>
      </c>
      <c r="C52" s="42" t="s">
        <v>332</v>
      </c>
      <c r="D52" s="43" t="s">
        <v>315</v>
      </c>
      <c r="E52" s="43" t="s">
        <v>316</v>
      </c>
      <c r="F52" s="43" t="s">
        <v>137</v>
      </c>
      <c r="G52" s="41" t="s">
        <v>333</v>
      </c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5.75" customHeight="1">
      <c r="A53" s="40" t="s">
        <v>157</v>
      </c>
      <c r="B53" s="41" t="s">
        <v>158</v>
      </c>
      <c r="C53" s="42" t="s">
        <v>332</v>
      </c>
      <c r="D53" s="43" t="s">
        <v>315</v>
      </c>
      <c r="E53" s="43" t="s">
        <v>316</v>
      </c>
      <c r="F53" s="43" t="s">
        <v>137</v>
      </c>
      <c r="G53" s="41" t="s">
        <v>334</v>
      </c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5.75" customHeight="1">
      <c r="A54" s="40" t="s">
        <v>160</v>
      </c>
      <c r="B54" s="41" t="s">
        <v>161</v>
      </c>
      <c r="C54" s="42" t="s">
        <v>332</v>
      </c>
      <c r="D54" s="43" t="s">
        <v>315</v>
      </c>
      <c r="E54" s="43" t="s">
        <v>316</v>
      </c>
      <c r="F54" s="43" t="s">
        <v>137</v>
      </c>
      <c r="G54" s="41" t="s">
        <v>335</v>
      </c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5.75" customHeight="1">
      <c r="A55" s="40" t="s">
        <v>164</v>
      </c>
      <c r="B55" s="41" t="s">
        <v>165</v>
      </c>
      <c r="C55" s="42" t="s">
        <v>332</v>
      </c>
      <c r="D55" s="43" t="s">
        <v>323</v>
      </c>
      <c r="E55" s="43" t="s">
        <v>324</v>
      </c>
      <c r="F55" s="43" t="s">
        <v>137</v>
      </c>
      <c r="G55" s="41" t="s">
        <v>336</v>
      </c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5.75" customHeight="1">
      <c r="A56" s="40" t="s">
        <v>167</v>
      </c>
      <c r="B56" s="41" t="s">
        <v>168</v>
      </c>
      <c r="C56" s="42" t="s">
        <v>332</v>
      </c>
      <c r="D56" s="43" t="s">
        <v>323</v>
      </c>
      <c r="E56" s="43" t="s">
        <v>324</v>
      </c>
      <c r="F56" s="43" t="s">
        <v>137</v>
      </c>
      <c r="G56" s="41" t="s">
        <v>337</v>
      </c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5.75" customHeight="1">
      <c r="A57" s="40" t="s">
        <v>170</v>
      </c>
      <c r="B57" s="41" t="s">
        <v>171</v>
      </c>
      <c r="C57" s="42" t="s">
        <v>332</v>
      </c>
      <c r="D57" s="43" t="s">
        <v>323</v>
      </c>
      <c r="E57" s="43" t="s">
        <v>324</v>
      </c>
      <c r="F57" s="43" t="s">
        <v>137</v>
      </c>
      <c r="G57" s="41" t="s">
        <v>338</v>
      </c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5.75" customHeight="1">
      <c r="A58" s="40" t="s">
        <v>174</v>
      </c>
      <c r="B58" s="41" t="s">
        <v>175</v>
      </c>
      <c r="C58" s="42" t="s">
        <v>332</v>
      </c>
      <c r="D58" s="43" t="s">
        <v>323</v>
      </c>
      <c r="E58" s="43" t="s">
        <v>324</v>
      </c>
      <c r="F58" s="43" t="s">
        <v>137</v>
      </c>
      <c r="G58" s="41" t="s">
        <v>339</v>
      </c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5.75" customHeight="1">
      <c r="A59" s="40" t="s">
        <v>177</v>
      </c>
      <c r="B59" s="41" t="s">
        <v>178</v>
      </c>
      <c r="C59" s="42" t="s">
        <v>332</v>
      </c>
      <c r="D59" s="43" t="s">
        <v>323</v>
      </c>
      <c r="E59" s="43" t="s">
        <v>324</v>
      </c>
      <c r="F59" s="43" t="s">
        <v>137</v>
      </c>
      <c r="G59" s="41" t="s">
        <v>340</v>
      </c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5.75" customHeight="1">
      <c r="A60" s="40" t="s">
        <v>181</v>
      </c>
      <c r="B60" s="41" t="s">
        <v>182</v>
      </c>
      <c r="C60" s="42" t="s">
        <v>332</v>
      </c>
      <c r="D60" s="43" t="s">
        <v>323</v>
      </c>
      <c r="E60" s="43" t="s">
        <v>324</v>
      </c>
      <c r="F60" s="43" t="s">
        <v>137</v>
      </c>
      <c r="G60" s="41" t="s">
        <v>341</v>
      </c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5.75" customHeight="1">
      <c r="A61" s="40" t="s">
        <v>184</v>
      </c>
      <c r="B61" s="41" t="s">
        <v>186</v>
      </c>
      <c r="C61" s="42" t="s">
        <v>332</v>
      </c>
      <c r="D61" s="43" t="s">
        <v>323</v>
      </c>
      <c r="E61" s="43" t="s">
        <v>324</v>
      </c>
      <c r="F61" s="43" t="s">
        <v>137</v>
      </c>
      <c r="G61" s="41" t="s">
        <v>342</v>
      </c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75" customHeight="1">
      <c r="A62" s="40" t="s">
        <v>190</v>
      </c>
      <c r="B62" s="41" t="s">
        <v>191</v>
      </c>
      <c r="C62" s="42" t="s">
        <v>332</v>
      </c>
      <c r="D62" s="43" t="s">
        <v>185</v>
      </c>
      <c r="E62" s="43" t="s">
        <v>187</v>
      </c>
      <c r="F62" s="43" t="s">
        <v>137</v>
      </c>
      <c r="G62" s="41" t="s">
        <v>343</v>
      </c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5.75" customHeight="1">
      <c r="A63" s="40" t="s">
        <v>193</v>
      </c>
      <c r="B63" s="41" t="s">
        <v>194</v>
      </c>
      <c r="C63" s="42" t="s">
        <v>332</v>
      </c>
      <c r="D63" s="43" t="s">
        <v>185</v>
      </c>
      <c r="E63" s="43" t="s">
        <v>187</v>
      </c>
      <c r="F63" s="43" t="s">
        <v>137</v>
      </c>
      <c r="G63" s="41" t="s">
        <v>344</v>
      </c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5.75" customHeight="1">
      <c r="A64" s="40" t="s">
        <v>197</v>
      </c>
      <c r="B64" s="41" t="s">
        <v>198</v>
      </c>
      <c r="C64" s="42" t="s">
        <v>332</v>
      </c>
      <c r="D64" s="43" t="s">
        <v>345</v>
      </c>
      <c r="E64" s="43" t="s">
        <v>346</v>
      </c>
      <c r="F64" s="43" t="s">
        <v>137</v>
      </c>
      <c r="G64" s="41" t="s">
        <v>347</v>
      </c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5.75" customHeight="1">
      <c r="A65" s="40" t="s">
        <v>200</v>
      </c>
      <c r="B65" s="41" t="s">
        <v>201</v>
      </c>
      <c r="C65" s="42" t="s">
        <v>332</v>
      </c>
      <c r="D65" s="43" t="s">
        <v>345</v>
      </c>
      <c r="E65" s="43" t="s">
        <v>346</v>
      </c>
      <c r="F65" s="43" t="s">
        <v>137</v>
      </c>
      <c r="G65" s="41" t="s">
        <v>348</v>
      </c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5.75" customHeight="1">
      <c r="A66" s="40" t="s">
        <v>204</v>
      </c>
      <c r="B66" s="41" t="s">
        <v>205</v>
      </c>
      <c r="C66" s="42" t="s">
        <v>332</v>
      </c>
      <c r="D66" s="43" t="s">
        <v>345</v>
      </c>
      <c r="E66" s="43" t="s">
        <v>346</v>
      </c>
      <c r="F66" s="43" t="s">
        <v>137</v>
      </c>
      <c r="G66" s="41" t="s">
        <v>349</v>
      </c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5.75" customHeight="1">
      <c r="A67" s="34" t="s">
        <v>271</v>
      </c>
      <c r="B67" s="35" t="s">
        <v>272</v>
      </c>
      <c r="C67" s="36" t="s">
        <v>350</v>
      </c>
      <c r="D67" s="37" t="s">
        <v>185</v>
      </c>
      <c r="E67" s="37" t="s">
        <v>187</v>
      </c>
      <c r="F67" s="37" t="s">
        <v>137</v>
      </c>
      <c r="G67" s="35" t="s">
        <v>351</v>
      </c>
    </row>
    <row r="68" ht="15.75" customHeight="1">
      <c r="A68" s="7" t="s">
        <v>275</v>
      </c>
      <c r="B68" s="9" t="s">
        <v>276</v>
      </c>
      <c r="C68" s="36" t="s">
        <v>350</v>
      </c>
      <c r="D68" s="39" t="s">
        <v>185</v>
      </c>
      <c r="E68" s="39" t="s">
        <v>187</v>
      </c>
      <c r="F68" s="39" t="s">
        <v>137</v>
      </c>
      <c r="G68" s="9" t="s">
        <v>352</v>
      </c>
    </row>
    <row r="69" ht="15.75" customHeight="1">
      <c r="A69" s="34" t="s">
        <v>278</v>
      </c>
      <c r="B69" s="35" t="s">
        <v>279</v>
      </c>
      <c r="C69" s="36" t="s">
        <v>350</v>
      </c>
      <c r="D69" s="37" t="s">
        <v>315</v>
      </c>
      <c r="E69" s="37" t="s">
        <v>316</v>
      </c>
      <c r="F69" s="37" t="s">
        <v>137</v>
      </c>
      <c r="G69" s="35" t="s">
        <v>353</v>
      </c>
    </row>
    <row r="70" ht="15.75" customHeight="1">
      <c r="A70" s="7" t="s">
        <v>282</v>
      </c>
      <c r="B70" s="9" t="s">
        <v>283</v>
      </c>
      <c r="C70" s="36" t="s">
        <v>350</v>
      </c>
      <c r="D70" s="39" t="s">
        <v>315</v>
      </c>
      <c r="E70" s="39" t="s">
        <v>316</v>
      </c>
      <c r="F70" s="39" t="s">
        <v>137</v>
      </c>
      <c r="G70" s="9" t="s">
        <v>354</v>
      </c>
    </row>
    <row r="71" ht="15.75" customHeight="1">
      <c r="A71" s="34" t="s">
        <v>285</v>
      </c>
      <c r="B71" s="35" t="s">
        <v>286</v>
      </c>
      <c r="C71" s="36" t="s">
        <v>350</v>
      </c>
      <c r="D71" s="37" t="s">
        <v>323</v>
      </c>
      <c r="E71" s="37" t="s">
        <v>324</v>
      </c>
      <c r="F71" s="37" t="s">
        <v>137</v>
      </c>
      <c r="G71" s="35" t="s">
        <v>355</v>
      </c>
    </row>
    <row r="72" ht="15.75" customHeight="1">
      <c r="A72" s="7" t="s">
        <v>289</v>
      </c>
      <c r="B72" s="9" t="s">
        <v>290</v>
      </c>
      <c r="C72" s="36" t="s">
        <v>350</v>
      </c>
      <c r="D72" s="39" t="s">
        <v>323</v>
      </c>
      <c r="E72" s="39" t="s">
        <v>324</v>
      </c>
      <c r="F72" s="39" t="s">
        <v>137</v>
      </c>
      <c r="G72" s="9" t="s">
        <v>356</v>
      </c>
    </row>
    <row r="73" ht="15.75" customHeight="1">
      <c r="A73" s="34" t="s">
        <v>292</v>
      </c>
      <c r="B73" s="35" t="s">
        <v>293</v>
      </c>
      <c r="C73" s="36" t="s">
        <v>350</v>
      </c>
      <c r="D73" s="37" t="s">
        <v>323</v>
      </c>
      <c r="E73" s="37" t="s">
        <v>324</v>
      </c>
      <c r="F73" s="37" t="s">
        <v>137</v>
      </c>
      <c r="G73" s="35" t="s">
        <v>357</v>
      </c>
    </row>
    <row r="74" ht="15.75" customHeight="1">
      <c r="A74" s="7" t="s">
        <v>296</v>
      </c>
      <c r="B74" s="9" t="s">
        <v>297</v>
      </c>
      <c r="C74" s="36" t="s">
        <v>350</v>
      </c>
      <c r="D74" s="39" t="s">
        <v>185</v>
      </c>
      <c r="E74" s="39" t="s">
        <v>187</v>
      </c>
      <c r="F74" s="39" t="s">
        <v>137</v>
      </c>
      <c r="G74" s="9" t="s">
        <v>358</v>
      </c>
    </row>
    <row r="75" ht="15.75" customHeight="1">
      <c r="A75" s="34" t="s">
        <v>299</v>
      </c>
      <c r="B75" s="35" t="s">
        <v>300</v>
      </c>
      <c r="C75" s="36" t="s">
        <v>350</v>
      </c>
      <c r="D75" s="37" t="s">
        <v>359</v>
      </c>
      <c r="E75" s="37" t="s">
        <v>360</v>
      </c>
      <c r="F75" s="37" t="s">
        <v>137</v>
      </c>
      <c r="G75" s="35" t="s">
        <v>361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dataValidations>
    <dataValidation type="list" allowBlank="1" sqref="F7:F75">
      <formula1>"Not Started,In Progress,Completed,Blocked"</formula1>
    </dataValidation>
  </dataValidations>
  <printOptions/>
  <pageMargins bottom="1.0" footer="0.0" header="0.0" left="0.75" right="0.75" top="1.0"/>
  <pageSetup orientation="landscape" paperHeight="8.5in" paperWidth="15.748031496062993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5.0"/>
    <col customWidth="1" min="3" max="5" width="35.0"/>
    <col customWidth="1" min="6" max="6" width="28.57"/>
    <col customWidth="1" min="7" max="10" width="20.14"/>
    <col customWidth="1" min="11" max="25" width="8.71"/>
  </cols>
  <sheetData>
    <row r="1">
      <c r="A1" s="1" t="s">
        <v>0</v>
      </c>
    </row>
    <row r="3">
      <c r="A3" s="3" t="s">
        <v>2</v>
      </c>
    </row>
    <row r="4">
      <c r="A4" s="5" t="s">
        <v>4</v>
      </c>
      <c r="B4" s="5" t="s">
        <v>6</v>
      </c>
      <c r="C4" s="5" t="s">
        <v>7</v>
      </c>
      <c r="D4" s="5" t="s">
        <v>8</v>
      </c>
      <c r="E4" s="5" t="s">
        <v>9</v>
      </c>
    </row>
    <row r="5">
      <c r="A5" s="7" t="s">
        <v>10</v>
      </c>
      <c r="B5" s="8" t="s">
        <v>16</v>
      </c>
      <c r="C5" s="9" t="s">
        <v>18</v>
      </c>
      <c r="D5" s="9" t="s">
        <v>19</v>
      </c>
      <c r="E5" s="9" t="s">
        <v>20</v>
      </c>
    </row>
    <row r="6">
      <c r="A6" s="7" t="s">
        <v>21</v>
      </c>
      <c r="B6" s="8" t="s">
        <v>22</v>
      </c>
      <c r="C6" s="9" t="s">
        <v>23</v>
      </c>
      <c r="D6" s="9" t="s">
        <v>24</v>
      </c>
      <c r="E6" s="9" t="s">
        <v>25</v>
      </c>
    </row>
    <row r="7">
      <c r="A7" s="7" t="s">
        <v>26</v>
      </c>
      <c r="B7" s="8" t="s">
        <v>27</v>
      </c>
      <c r="C7" s="9" t="s">
        <v>28</v>
      </c>
      <c r="D7" s="9" t="s">
        <v>29</v>
      </c>
      <c r="E7" s="9" t="s">
        <v>30</v>
      </c>
    </row>
    <row r="8">
      <c r="A8" s="7" t="s">
        <v>31</v>
      </c>
      <c r="B8" s="8" t="s">
        <v>32</v>
      </c>
      <c r="C8" s="9" t="s">
        <v>33</v>
      </c>
      <c r="D8" s="9" t="s">
        <v>34</v>
      </c>
      <c r="E8" s="9" t="s">
        <v>35</v>
      </c>
    </row>
    <row r="9">
      <c r="A9" s="7" t="s">
        <v>36</v>
      </c>
      <c r="B9" s="8" t="s">
        <v>37</v>
      </c>
      <c r="C9" s="9" t="s">
        <v>38</v>
      </c>
      <c r="D9" s="9" t="s">
        <v>39</v>
      </c>
      <c r="E9" s="9" t="s">
        <v>30</v>
      </c>
    </row>
    <row r="11">
      <c r="A11" s="3" t="s">
        <v>40</v>
      </c>
    </row>
    <row r="12">
      <c r="A12" s="10" t="s">
        <v>41</v>
      </c>
      <c r="B12" s="10" t="s">
        <v>42</v>
      </c>
      <c r="C12" s="10" t="s">
        <v>43</v>
      </c>
      <c r="D12" s="10" t="s">
        <v>44</v>
      </c>
      <c r="E12" s="10" t="s">
        <v>45</v>
      </c>
      <c r="F12" s="10" t="s">
        <v>46</v>
      </c>
      <c r="G12" s="10" t="s">
        <v>47</v>
      </c>
      <c r="H12" s="10" t="s">
        <v>48</v>
      </c>
      <c r="I12" s="10" t="s">
        <v>49</v>
      </c>
      <c r="J12" s="10" t="s">
        <v>50</v>
      </c>
    </row>
    <row r="13">
      <c r="A13" s="12">
        <v>1.0</v>
      </c>
      <c r="B13" s="13" t="s">
        <v>51</v>
      </c>
      <c r="C13" s="14" t="s">
        <v>52</v>
      </c>
      <c r="D13" s="13" t="s">
        <v>53</v>
      </c>
      <c r="E13" s="13" t="s">
        <v>54</v>
      </c>
      <c r="F13" s="12" t="s">
        <v>18</v>
      </c>
      <c r="G13" s="12" t="s">
        <v>55</v>
      </c>
      <c r="H13" s="15"/>
      <c r="I13" s="15"/>
      <c r="J13" s="15"/>
    </row>
    <row r="14">
      <c r="A14" s="16">
        <v>2.0</v>
      </c>
      <c r="B14" s="17" t="s">
        <v>51</v>
      </c>
      <c r="C14" s="18" t="s">
        <v>56</v>
      </c>
      <c r="D14" s="17" t="s">
        <v>57</v>
      </c>
      <c r="E14" s="17" t="s">
        <v>58</v>
      </c>
      <c r="F14" s="16" t="s">
        <v>18</v>
      </c>
      <c r="G14" s="16" t="s">
        <v>55</v>
      </c>
      <c r="H14" s="19"/>
      <c r="I14" s="19"/>
      <c r="J14" s="19"/>
    </row>
    <row r="15">
      <c r="A15" s="12">
        <v>3.0</v>
      </c>
      <c r="B15" s="13" t="s">
        <v>51</v>
      </c>
      <c r="C15" s="14" t="s">
        <v>59</v>
      </c>
      <c r="D15" s="13" t="s">
        <v>60</v>
      </c>
      <c r="E15" s="13" t="s">
        <v>61</v>
      </c>
      <c r="F15" s="12" t="s">
        <v>18</v>
      </c>
      <c r="G15" s="12" t="s">
        <v>55</v>
      </c>
      <c r="H15" s="15"/>
      <c r="I15" s="15"/>
      <c r="J15" s="15"/>
    </row>
    <row r="16">
      <c r="A16" s="16">
        <v>4.0</v>
      </c>
      <c r="B16" s="17" t="s">
        <v>51</v>
      </c>
      <c r="C16" s="18" t="s">
        <v>63</v>
      </c>
      <c r="D16" s="17" t="s">
        <v>64</v>
      </c>
      <c r="E16" s="17" t="s">
        <v>65</v>
      </c>
      <c r="F16" s="16" t="s">
        <v>18</v>
      </c>
      <c r="G16" s="16" t="s">
        <v>55</v>
      </c>
      <c r="H16" s="19"/>
      <c r="I16" s="19"/>
      <c r="J16" s="19"/>
    </row>
    <row r="17">
      <c r="A17" s="12">
        <v>5.0</v>
      </c>
      <c r="B17" s="13" t="s">
        <v>51</v>
      </c>
      <c r="C17" s="14" t="s">
        <v>72</v>
      </c>
      <c r="D17" s="13" t="s">
        <v>73</v>
      </c>
      <c r="E17" s="13" t="s">
        <v>74</v>
      </c>
      <c r="F17" s="12" t="s">
        <v>18</v>
      </c>
      <c r="G17" s="15"/>
      <c r="H17" s="12" t="s">
        <v>55</v>
      </c>
      <c r="I17" s="12" t="s">
        <v>55</v>
      </c>
      <c r="J17" s="12" t="s">
        <v>55</v>
      </c>
    </row>
    <row r="18">
      <c r="A18" s="16">
        <v>6.0</v>
      </c>
      <c r="B18" s="17" t="s">
        <v>51</v>
      </c>
      <c r="C18" s="18" t="s">
        <v>75</v>
      </c>
      <c r="D18" s="17" t="s">
        <v>76</v>
      </c>
      <c r="E18" s="17" t="s">
        <v>77</v>
      </c>
      <c r="F18" s="16" t="s">
        <v>18</v>
      </c>
      <c r="G18" s="19"/>
      <c r="H18" s="16" t="s">
        <v>55</v>
      </c>
      <c r="I18" s="16" t="s">
        <v>55</v>
      </c>
      <c r="J18" s="16" t="s">
        <v>55</v>
      </c>
    </row>
    <row r="19">
      <c r="A19" s="12">
        <v>7.0</v>
      </c>
      <c r="B19" s="13" t="s">
        <v>51</v>
      </c>
      <c r="C19" s="14" t="s">
        <v>78</v>
      </c>
      <c r="D19" s="13" t="s">
        <v>79</v>
      </c>
      <c r="E19" s="13" t="s">
        <v>80</v>
      </c>
      <c r="F19" s="12" t="s">
        <v>18</v>
      </c>
      <c r="G19" s="15"/>
      <c r="H19" s="12" t="s">
        <v>55</v>
      </c>
      <c r="I19" s="12" t="s">
        <v>55</v>
      </c>
      <c r="J19" s="12" t="s">
        <v>55</v>
      </c>
    </row>
    <row r="20">
      <c r="A20" s="16">
        <v>8.0</v>
      </c>
      <c r="B20" s="17" t="s">
        <v>51</v>
      </c>
      <c r="C20" s="18" t="s">
        <v>82</v>
      </c>
      <c r="D20" s="17" t="s">
        <v>83</v>
      </c>
      <c r="E20" s="17" t="s">
        <v>85</v>
      </c>
      <c r="F20" s="16" t="s">
        <v>18</v>
      </c>
      <c r="G20" s="19"/>
      <c r="H20" s="16" t="s">
        <v>55</v>
      </c>
      <c r="I20" s="16" t="s">
        <v>55</v>
      </c>
      <c r="J20" s="16" t="s">
        <v>55</v>
      </c>
    </row>
    <row r="21" ht="15.75" customHeight="1">
      <c r="A21" s="12">
        <v>9.0</v>
      </c>
      <c r="B21" s="13" t="s">
        <v>51</v>
      </c>
      <c r="C21" s="14" t="s">
        <v>87</v>
      </c>
      <c r="D21" s="13" t="s">
        <v>88</v>
      </c>
      <c r="E21" s="13" t="s">
        <v>89</v>
      </c>
      <c r="F21" s="12" t="s">
        <v>18</v>
      </c>
      <c r="G21" s="12" t="s">
        <v>55</v>
      </c>
      <c r="H21" s="15"/>
      <c r="I21" s="15"/>
      <c r="J21" s="15"/>
    </row>
    <row r="22" ht="15.75" customHeight="1">
      <c r="A22" s="16">
        <v>10.0</v>
      </c>
      <c r="B22" s="17" t="s">
        <v>51</v>
      </c>
      <c r="C22" s="18" t="s">
        <v>90</v>
      </c>
      <c r="D22" s="17" t="s">
        <v>91</v>
      </c>
      <c r="E22" s="17" t="s">
        <v>92</v>
      </c>
      <c r="F22" s="16" t="s">
        <v>18</v>
      </c>
      <c r="G22" s="19"/>
      <c r="H22" s="19"/>
      <c r="I22" s="19"/>
      <c r="J22" s="16" t="s">
        <v>55</v>
      </c>
    </row>
    <row r="23" ht="15.75" customHeight="1">
      <c r="A23" s="12">
        <v>11.0</v>
      </c>
      <c r="B23" s="13" t="s">
        <v>51</v>
      </c>
      <c r="C23" s="14" t="s">
        <v>93</v>
      </c>
      <c r="D23" s="13" t="s">
        <v>94</v>
      </c>
      <c r="E23" s="13" t="s">
        <v>95</v>
      </c>
      <c r="F23" s="12" t="s">
        <v>18</v>
      </c>
      <c r="G23" s="15"/>
      <c r="H23" s="15"/>
      <c r="I23" s="15"/>
      <c r="J23" s="12" t="s">
        <v>55</v>
      </c>
    </row>
    <row r="24" ht="15.75" customHeight="1">
      <c r="A24" s="16">
        <v>12.0</v>
      </c>
      <c r="B24" s="17" t="s">
        <v>51</v>
      </c>
      <c r="C24" s="18" t="s">
        <v>96</v>
      </c>
      <c r="D24" s="17" t="s">
        <v>97</v>
      </c>
      <c r="E24" s="17" t="s">
        <v>98</v>
      </c>
      <c r="F24" s="16" t="s">
        <v>18</v>
      </c>
      <c r="G24" s="19"/>
      <c r="H24" s="16" t="s">
        <v>99</v>
      </c>
      <c r="I24" s="16" t="s">
        <v>99</v>
      </c>
      <c r="J24" s="16" t="s">
        <v>55</v>
      </c>
    </row>
    <row r="25" ht="15.75" customHeight="1">
      <c r="A25" s="12">
        <v>13.0</v>
      </c>
      <c r="B25" s="13" t="s">
        <v>51</v>
      </c>
      <c r="C25" s="14" t="s">
        <v>100</v>
      </c>
      <c r="D25" s="13" t="s">
        <v>101</v>
      </c>
      <c r="E25" s="13" t="s">
        <v>102</v>
      </c>
      <c r="F25" s="12" t="s">
        <v>18</v>
      </c>
      <c r="G25" s="15"/>
      <c r="H25" s="12" t="s">
        <v>99</v>
      </c>
      <c r="I25" s="12" t="s">
        <v>99</v>
      </c>
      <c r="J25" s="12" t="s">
        <v>55</v>
      </c>
    </row>
    <row r="26" ht="15.75" customHeight="1">
      <c r="A26" s="16">
        <v>14.0</v>
      </c>
      <c r="B26" s="17" t="s">
        <v>103</v>
      </c>
      <c r="C26" s="18" t="s">
        <v>104</v>
      </c>
      <c r="D26" s="17" t="s">
        <v>106</v>
      </c>
      <c r="E26" s="17" t="s">
        <v>107</v>
      </c>
      <c r="F26" s="16" t="s">
        <v>23</v>
      </c>
      <c r="G26" s="16" t="s">
        <v>99</v>
      </c>
      <c r="H26" s="16" t="s">
        <v>55</v>
      </c>
      <c r="I26" s="19"/>
      <c r="J26" s="19"/>
    </row>
    <row r="27" ht="15.75" customHeight="1">
      <c r="A27" s="12">
        <v>15.0</v>
      </c>
      <c r="B27" s="13" t="s">
        <v>103</v>
      </c>
      <c r="C27" s="14" t="s">
        <v>109</v>
      </c>
      <c r="D27" s="13" t="s">
        <v>110</v>
      </c>
      <c r="E27" s="13" t="s">
        <v>111</v>
      </c>
      <c r="F27" s="12" t="s">
        <v>23</v>
      </c>
      <c r="G27" s="12" t="s">
        <v>99</v>
      </c>
      <c r="H27" s="12" t="s">
        <v>55</v>
      </c>
      <c r="I27" s="15"/>
      <c r="J27" s="15"/>
    </row>
    <row r="28" ht="15.75" customHeight="1">
      <c r="A28" s="16">
        <v>16.0</v>
      </c>
      <c r="B28" s="17" t="s">
        <v>103</v>
      </c>
      <c r="C28" s="18" t="s">
        <v>112</v>
      </c>
      <c r="D28" s="17" t="s">
        <v>113</v>
      </c>
      <c r="E28" s="17" t="s">
        <v>114</v>
      </c>
      <c r="F28" s="16" t="s">
        <v>23</v>
      </c>
      <c r="G28" s="16" t="s">
        <v>99</v>
      </c>
      <c r="H28" s="16" t="s">
        <v>55</v>
      </c>
      <c r="I28" s="19"/>
      <c r="J28" s="19"/>
    </row>
    <row r="29" ht="15.75" customHeight="1">
      <c r="A29" s="12">
        <v>17.0</v>
      </c>
      <c r="B29" s="13" t="s">
        <v>103</v>
      </c>
      <c r="C29" s="14" t="s">
        <v>115</v>
      </c>
      <c r="D29" s="13" t="s">
        <v>116</v>
      </c>
      <c r="E29" s="13" t="s">
        <v>117</v>
      </c>
      <c r="F29" s="12" t="s">
        <v>23</v>
      </c>
      <c r="G29" s="12" t="s">
        <v>99</v>
      </c>
      <c r="H29" s="12" t="s">
        <v>55</v>
      </c>
      <c r="I29" s="15"/>
      <c r="J29" s="15"/>
    </row>
    <row r="30" ht="15.75" customHeight="1">
      <c r="A30" s="16">
        <v>18.0</v>
      </c>
      <c r="B30" s="17" t="s">
        <v>103</v>
      </c>
      <c r="C30" s="18" t="s">
        <v>118</v>
      </c>
      <c r="D30" s="17" t="s">
        <v>119</v>
      </c>
      <c r="E30" s="17" t="s">
        <v>120</v>
      </c>
      <c r="F30" s="16" t="s">
        <v>23</v>
      </c>
      <c r="G30" s="19"/>
      <c r="H30" s="16" t="s">
        <v>55</v>
      </c>
      <c r="I30" s="19"/>
      <c r="J30" s="19"/>
    </row>
    <row r="31" ht="15.75" customHeight="1">
      <c r="A31" s="12">
        <v>19.0</v>
      </c>
      <c r="B31" s="13" t="s">
        <v>103</v>
      </c>
      <c r="C31" s="14" t="s">
        <v>122</v>
      </c>
      <c r="D31" s="13" t="s">
        <v>123</v>
      </c>
      <c r="E31" s="13" t="s">
        <v>124</v>
      </c>
      <c r="F31" s="12" t="s">
        <v>23</v>
      </c>
      <c r="G31" s="15"/>
      <c r="H31" s="12" t="s">
        <v>55</v>
      </c>
      <c r="I31" s="15"/>
      <c r="J31" s="15"/>
    </row>
    <row r="32" ht="15.75" customHeight="1">
      <c r="A32" s="16">
        <v>20.0</v>
      </c>
      <c r="B32" s="17" t="s">
        <v>103</v>
      </c>
      <c r="C32" s="18" t="s">
        <v>125</v>
      </c>
      <c r="D32" s="17" t="s">
        <v>126</v>
      </c>
      <c r="E32" s="17" t="s">
        <v>127</v>
      </c>
      <c r="F32" s="16" t="s">
        <v>23</v>
      </c>
      <c r="G32" s="19"/>
      <c r="H32" s="16" t="s">
        <v>55</v>
      </c>
      <c r="I32" s="19"/>
      <c r="J32" s="19"/>
    </row>
    <row r="33" ht="15.75" customHeight="1">
      <c r="A33" s="12">
        <v>21.0</v>
      </c>
      <c r="B33" s="13" t="s">
        <v>103</v>
      </c>
      <c r="C33" s="14" t="s">
        <v>128</v>
      </c>
      <c r="D33" s="13" t="s">
        <v>130</v>
      </c>
      <c r="E33" s="13" t="s">
        <v>131</v>
      </c>
      <c r="F33" s="12" t="s">
        <v>23</v>
      </c>
      <c r="G33" s="15"/>
      <c r="H33" s="12" t="s">
        <v>55</v>
      </c>
      <c r="I33" s="15"/>
      <c r="J33" s="15"/>
    </row>
    <row r="34" ht="15.75" customHeight="1">
      <c r="A34" s="16">
        <v>22.0</v>
      </c>
      <c r="B34" s="17" t="s">
        <v>103</v>
      </c>
      <c r="C34" s="18" t="s">
        <v>132</v>
      </c>
      <c r="D34" s="17" t="s">
        <v>133</v>
      </c>
      <c r="E34" s="17" t="s">
        <v>134</v>
      </c>
      <c r="F34" s="16" t="s">
        <v>23</v>
      </c>
      <c r="G34" s="19"/>
      <c r="H34" s="16" t="s">
        <v>55</v>
      </c>
      <c r="I34" s="19"/>
      <c r="J34" s="19"/>
    </row>
    <row r="35" ht="15.75" customHeight="1">
      <c r="A35" s="12">
        <v>23.0</v>
      </c>
      <c r="B35" s="13" t="s">
        <v>103</v>
      </c>
      <c r="C35" s="14" t="s">
        <v>138</v>
      </c>
      <c r="D35" s="13" t="s">
        <v>139</v>
      </c>
      <c r="E35" s="13" t="s">
        <v>141</v>
      </c>
      <c r="F35" s="12" t="s">
        <v>23</v>
      </c>
      <c r="G35" s="15"/>
      <c r="H35" s="12" t="s">
        <v>55</v>
      </c>
      <c r="I35" s="15"/>
      <c r="J35" s="15"/>
    </row>
    <row r="36" ht="15.75" customHeight="1">
      <c r="A36" s="16">
        <v>24.0</v>
      </c>
      <c r="B36" s="17" t="s">
        <v>103</v>
      </c>
      <c r="C36" s="18" t="s">
        <v>142</v>
      </c>
      <c r="D36" s="17" t="s">
        <v>143</v>
      </c>
      <c r="E36" s="17" t="s">
        <v>144</v>
      </c>
      <c r="F36" s="16" t="s">
        <v>23</v>
      </c>
      <c r="G36" s="19"/>
      <c r="H36" s="16" t="s">
        <v>55</v>
      </c>
      <c r="I36" s="19"/>
      <c r="J36" s="19"/>
    </row>
    <row r="37" ht="15.75" customHeight="1">
      <c r="A37" s="12">
        <v>25.0</v>
      </c>
      <c r="B37" s="13" t="s">
        <v>103</v>
      </c>
      <c r="C37" s="14" t="s">
        <v>145</v>
      </c>
      <c r="D37" s="13" t="s">
        <v>146</v>
      </c>
      <c r="E37" s="13" t="s">
        <v>147</v>
      </c>
      <c r="F37" s="12" t="s">
        <v>23</v>
      </c>
      <c r="G37" s="15"/>
      <c r="H37" s="12" t="s">
        <v>55</v>
      </c>
      <c r="I37" s="15"/>
      <c r="J37" s="15"/>
    </row>
    <row r="38" ht="15.75" customHeight="1">
      <c r="A38" s="16">
        <v>26.0</v>
      </c>
      <c r="B38" s="17" t="s">
        <v>103</v>
      </c>
      <c r="C38" s="18" t="s">
        <v>149</v>
      </c>
      <c r="D38" s="17" t="s">
        <v>150</v>
      </c>
      <c r="E38" s="17" t="s">
        <v>151</v>
      </c>
      <c r="F38" s="16" t="s">
        <v>23</v>
      </c>
      <c r="G38" s="19"/>
      <c r="H38" s="16" t="s">
        <v>55</v>
      </c>
      <c r="I38" s="19"/>
      <c r="J38" s="19"/>
    </row>
    <row r="39" ht="15.75" customHeight="1">
      <c r="A39" s="12">
        <v>27.0</v>
      </c>
      <c r="B39" s="13" t="s">
        <v>152</v>
      </c>
      <c r="C39" s="14" t="s">
        <v>153</v>
      </c>
      <c r="D39" s="13" t="s">
        <v>154</v>
      </c>
      <c r="E39" s="13" t="s">
        <v>155</v>
      </c>
      <c r="F39" s="12" t="s">
        <v>28</v>
      </c>
      <c r="G39" s="12" t="s">
        <v>99</v>
      </c>
      <c r="H39" s="12" t="s">
        <v>55</v>
      </c>
      <c r="I39" s="15"/>
      <c r="J39" s="15"/>
    </row>
    <row r="40" ht="15.75" customHeight="1">
      <c r="A40" s="16">
        <v>28.0</v>
      </c>
      <c r="B40" s="17" t="s">
        <v>152</v>
      </c>
      <c r="C40" s="18" t="s">
        <v>157</v>
      </c>
      <c r="D40" s="17" t="s">
        <v>158</v>
      </c>
      <c r="E40" s="17" t="s">
        <v>159</v>
      </c>
      <c r="F40" s="16" t="s">
        <v>28</v>
      </c>
      <c r="G40" s="19"/>
      <c r="H40" s="16" t="s">
        <v>55</v>
      </c>
      <c r="I40" s="19"/>
      <c r="J40" s="19"/>
    </row>
    <row r="41" ht="15.75" customHeight="1">
      <c r="A41" s="12">
        <v>29.0</v>
      </c>
      <c r="B41" s="13" t="s">
        <v>152</v>
      </c>
      <c r="C41" s="14" t="s">
        <v>160</v>
      </c>
      <c r="D41" s="13" t="s">
        <v>161</v>
      </c>
      <c r="E41" s="13" t="s">
        <v>162</v>
      </c>
      <c r="F41" s="12" t="s">
        <v>28</v>
      </c>
      <c r="G41" s="15"/>
      <c r="H41" s="12" t="s">
        <v>55</v>
      </c>
      <c r="I41" s="15"/>
      <c r="J41" s="15"/>
    </row>
    <row r="42" ht="15.75" customHeight="1">
      <c r="A42" s="16">
        <v>30.0</v>
      </c>
      <c r="B42" s="17" t="s">
        <v>152</v>
      </c>
      <c r="C42" s="18" t="s">
        <v>164</v>
      </c>
      <c r="D42" s="17" t="s">
        <v>165</v>
      </c>
      <c r="E42" s="17" t="s">
        <v>166</v>
      </c>
      <c r="F42" s="16" t="s">
        <v>28</v>
      </c>
      <c r="G42" s="19"/>
      <c r="H42" s="16" t="s">
        <v>55</v>
      </c>
      <c r="I42" s="19"/>
      <c r="J42" s="19"/>
    </row>
    <row r="43" ht="15.75" customHeight="1">
      <c r="A43" s="12">
        <v>31.0</v>
      </c>
      <c r="B43" s="13" t="s">
        <v>152</v>
      </c>
      <c r="C43" s="14" t="s">
        <v>167</v>
      </c>
      <c r="D43" s="13" t="s">
        <v>168</v>
      </c>
      <c r="E43" s="13" t="s">
        <v>169</v>
      </c>
      <c r="F43" s="12" t="s">
        <v>28</v>
      </c>
      <c r="G43" s="15"/>
      <c r="H43" s="12" t="s">
        <v>55</v>
      </c>
      <c r="I43" s="15"/>
      <c r="J43" s="15"/>
    </row>
    <row r="44" ht="15.75" customHeight="1">
      <c r="A44" s="16">
        <v>32.0</v>
      </c>
      <c r="B44" s="17" t="s">
        <v>152</v>
      </c>
      <c r="C44" s="18" t="s">
        <v>170</v>
      </c>
      <c r="D44" s="17" t="s">
        <v>171</v>
      </c>
      <c r="E44" s="17" t="s">
        <v>172</v>
      </c>
      <c r="F44" s="16" t="s">
        <v>28</v>
      </c>
      <c r="G44" s="19"/>
      <c r="H44" s="16" t="s">
        <v>55</v>
      </c>
      <c r="I44" s="19"/>
      <c r="J44" s="19"/>
    </row>
    <row r="45" ht="15.75" customHeight="1">
      <c r="A45" s="12">
        <v>33.0</v>
      </c>
      <c r="B45" s="13" t="s">
        <v>152</v>
      </c>
      <c r="C45" s="14" t="s">
        <v>174</v>
      </c>
      <c r="D45" s="13" t="s">
        <v>175</v>
      </c>
      <c r="E45" s="13" t="s">
        <v>176</v>
      </c>
      <c r="F45" s="12" t="s">
        <v>28</v>
      </c>
      <c r="G45" s="15"/>
      <c r="H45" s="12" t="s">
        <v>55</v>
      </c>
      <c r="I45" s="15"/>
      <c r="J45" s="15"/>
    </row>
    <row r="46" ht="15.75" customHeight="1">
      <c r="A46" s="16">
        <v>34.0</v>
      </c>
      <c r="B46" s="17" t="s">
        <v>152</v>
      </c>
      <c r="C46" s="18" t="s">
        <v>177</v>
      </c>
      <c r="D46" s="17" t="s">
        <v>178</v>
      </c>
      <c r="E46" s="17" t="s">
        <v>179</v>
      </c>
      <c r="F46" s="16" t="s">
        <v>28</v>
      </c>
      <c r="G46" s="19"/>
      <c r="H46" s="16" t="s">
        <v>55</v>
      </c>
      <c r="I46" s="19"/>
      <c r="J46" s="19"/>
    </row>
    <row r="47" ht="15.75" customHeight="1">
      <c r="A47" s="12">
        <v>35.0</v>
      </c>
      <c r="B47" s="13" t="s">
        <v>152</v>
      </c>
      <c r="C47" s="14" t="s">
        <v>181</v>
      </c>
      <c r="D47" s="13" t="s">
        <v>182</v>
      </c>
      <c r="E47" s="13" t="s">
        <v>183</v>
      </c>
      <c r="F47" s="12" t="s">
        <v>28</v>
      </c>
      <c r="G47" s="15"/>
      <c r="H47" s="12" t="s">
        <v>55</v>
      </c>
      <c r="I47" s="15"/>
      <c r="J47" s="15"/>
    </row>
    <row r="48" ht="15.75" customHeight="1">
      <c r="A48" s="16">
        <v>36.0</v>
      </c>
      <c r="B48" s="17" t="s">
        <v>152</v>
      </c>
      <c r="C48" s="18" t="s">
        <v>184</v>
      </c>
      <c r="D48" s="17" t="s">
        <v>186</v>
      </c>
      <c r="E48" s="17" t="s">
        <v>188</v>
      </c>
      <c r="F48" s="16" t="s">
        <v>28</v>
      </c>
      <c r="G48" s="19"/>
      <c r="H48" s="16" t="s">
        <v>55</v>
      </c>
      <c r="I48" s="19"/>
      <c r="J48" s="19"/>
    </row>
    <row r="49" ht="15.75" customHeight="1">
      <c r="A49" s="12">
        <v>37.0</v>
      </c>
      <c r="B49" s="13" t="s">
        <v>152</v>
      </c>
      <c r="C49" s="14" t="s">
        <v>190</v>
      </c>
      <c r="D49" s="13" t="s">
        <v>191</v>
      </c>
      <c r="E49" s="13" t="s">
        <v>192</v>
      </c>
      <c r="F49" s="12" t="s">
        <v>28</v>
      </c>
      <c r="G49" s="15"/>
      <c r="H49" s="12" t="s">
        <v>55</v>
      </c>
      <c r="I49" s="15"/>
      <c r="J49" s="15"/>
    </row>
    <row r="50" ht="15.75" customHeight="1">
      <c r="A50" s="16">
        <v>38.0</v>
      </c>
      <c r="B50" s="17" t="s">
        <v>152</v>
      </c>
      <c r="C50" s="18" t="s">
        <v>193</v>
      </c>
      <c r="D50" s="17" t="s">
        <v>194</v>
      </c>
      <c r="E50" s="17" t="s">
        <v>195</v>
      </c>
      <c r="F50" s="16" t="s">
        <v>28</v>
      </c>
      <c r="G50" s="19"/>
      <c r="H50" s="16" t="s">
        <v>55</v>
      </c>
      <c r="I50" s="19"/>
      <c r="J50" s="19"/>
    </row>
    <row r="51" ht="15.75" customHeight="1">
      <c r="A51" s="12">
        <v>39.0</v>
      </c>
      <c r="B51" s="13" t="s">
        <v>152</v>
      </c>
      <c r="C51" s="14" t="s">
        <v>197</v>
      </c>
      <c r="D51" s="13" t="s">
        <v>198</v>
      </c>
      <c r="E51" s="13" t="s">
        <v>199</v>
      </c>
      <c r="F51" s="12" t="s">
        <v>28</v>
      </c>
      <c r="G51" s="15"/>
      <c r="H51" s="15"/>
      <c r="I51" s="15"/>
      <c r="J51" s="12" t="s">
        <v>55</v>
      </c>
    </row>
    <row r="52" ht="15.75" customHeight="1">
      <c r="A52" s="16">
        <v>40.0</v>
      </c>
      <c r="B52" s="17" t="s">
        <v>152</v>
      </c>
      <c r="C52" s="18" t="s">
        <v>200</v>
      </c>
      <c r="D52" s="17" t="s">
        <v>201</v>
      </c>
      <c r="E52" s="17" t="s">
        <v>202</v>
      </c>
      <c r="F52" s="16" t="s">
        <v>28</v>
      </c>
      <c r="G52" s="19"/>
      <c r="H52" s="19"/>
      <c r="I52" s="19"/>
      <c r="J52" s="16" t="s">
        <v>55</v>
      </c>
    </row>
    <row r="53" ht="15.75" customHeight="1">
      <c r="A53" s="12">
        <v>41.0</v>
      </c>
      <c r="B53" s="13" t="s">
        <v>152</v>
      </c>
      <c r="C53" s="14" t="s">
        <v>204</v>
      </c>
      <c r="D53" s="13" t="s">
        <v>205</v>
      </c>
      <c r="E53" s="13" t="s">
        <v>206</v>
      </c>
      <c r="F53" s="12" t="s">
        <v>28</v>
      </c>
      <c r="G53" s="15"/>
      <c r="H53" s="15"/>
      <c r="I53" s="15"/>
      <c r="J53" s="12" t="s">
        <v>55</v>
      </c>
    </row>
    <row r="54" ht="15.75" customHeight="1">
      <c r="A54" s="16">
        <v>42.0</v>
      </c>
      <c r="B54" s="17" t="s">
        <v>207</v>
      </c>
      <c r="C54" s="18" t="s">
        <v>208</v>
      </c>
      <c r="D54" s="17" t="s">
        <v>209</v>
      </c>
      <c r="E54" s="17" t="s">
        <v>210</v>
      </c>
      <c r="F54" s="16" t="s">
        <v>33</v>
      </c>
      <c r="G54" s="19"/>
      <c r="H54" s="19"/>
      <c r="I54" s="16" t="s">
        <v>55</v>
      </c>
      <c r="J54" s="16" t="s">
        <v>55</v>
      </c>
    </row>
    <row r="55" ht="15.75" customHeight="1">
      <c r="A55" s="12">
        <v>43.0</v>
      </c>
      <c r="B55" s="13" t="s">
        <v>207</v>
      </c>
      <c r="C55" s="14" t="s">
        <v>212</v>
      </c>
      <c r="D55" s="13" t="s">
        <v>213</v>
      </c>
      <c r="E55" s="13" t="s">
        <v>214</v>
      </c>
      <c r="F55" s="12" t="s">
        <v>33</v>
      </c>
      <c r="G55" s="15"/>
      <c r="H55" s="15"/>
      <c r="I55" s="12" t="s">
        <v>55</v>
      </c>
      <c r="J55" s="12" t="s">
        <v>55</v>
      </c>
    </row>
    <row r="56" ht="15.75" customHeight="1">
      <c r="A56" s="16">
        <v>44.0</v>
      </c>
      <c r="B56" s="17" t="s">
        <v>207</v>
      </c>
      <c r="C56" s="18" t="s">
        <v>215</v>
      </c>
      <c r="D56" s="17" t="s">
        <v>216</v>
      </c>
      <c r="E56" s="17" t="s">
        <v>217</v>
      </c>
      <c r="F56" s="16" t="s">
        <v>33</v>
      </c>
      <c r="G56" s="19"/>
      <c r="H56" s="19"/>
      <c r="I56" s="16" t="s">
        <v>55</v>
      </c>
      <c r="J56" s="16" t="s">
        <v>55</v>
      </c>
    </row>
    <row r="57" ht="15.75" customHeight="1">
      <c r="A57" s="12">
        <v>45.0</v>
      </c>
      <c r="B57" s="13" t="s">
        <v>207</v>
      </c>
      <c r="C57" s="14" t="s">
        <v>218</v>
      </c>
      <c r="D57" s="13" t="s">
        <v>219</v>
      </c>
      <c r="E57" s="13" t="s">
        <v>220</v>
      </c>
      <c r="F57" s="12" t="s">
        <v>33</v>
      </c>
      <c r="G57" s="15"/>
      <c r="H57" s="15"/>
      <c r="I57" s="12" t="s">
        <v>55</v>
      </c>
      <c r="J57" s="12" t="s">
        <v>55</v>
      </c>
    </row>
    <row r="58" ht="15.75" customHeight="1">
      <c r="A58" s="16">
        <v>46.0</v>
      </c>
      <c r="B58" s="17" t="s">
        <v>207</v>
      </c>
      <c r="C58" s="18" t="s">
        <v>222</v>
      </c>
      <c r="D58" s="17" t="s">
        <v>223</v>
      </c>
      <c r="E58" s="17" t="s">
        <v>224</v>
      </c>
      <c r="F58" s="16" t="s">
        <v>33</v>
      </c>
      <c r="G58" s="19"/>
      <c r="H58" s="19"/>
      <c r="I58" s="16" t="s">
        <v>55</v>
      </c>
      <c r="J58" s="16" t="s">
        <v>55</v>
      </c>
    </row>
    <row r="59" ht="15.75" customHeight="1">
      <c r="A59" s="12">
        <v>47.0</v>
      </c>
      <c r="B59" s="13" t="s">
        <v>207</v>
      </c>
      <c r="C59" s="14" t="s">
        <v>225</v>
      </c>
      <c r="D59" s="13" t="s">
        <v>226</v>
      </c>
      <c r="E59" s="13" t="s">
        <v>227</v>
      </c>
      <c r="F59" s="12" t="s">
        <v>33</v>
      </c>
      <c r="G59" s="15"/>
      <c r="H59" s="15"/>
      <c r="I59" s="12" t="s">
        <v>55</v>
      </c>
      <c r="J59" s="12" t="s">
        <v>55</v>
      </c>
    </row>
    <row r="60" ht="15.75" customHeight="1">
      <c r="A60" s="16">
        <v>48.0</v>
      </c>
      <c r="B60" s="17" t="s">
        <v>207</v>
      </c>
      <c r="C60" s="18" t="s">
        <v>228</v>
      </c>
      <c r="D60" s="17" t="s">
        <v>229</v>
      </c>
      <c r="E60" s="17" t="s">
        <v>230</v>
      </c>
      <c r="F60" s="16" t="s">
        <v>33</v>
      </c>
      <c r="G60" s="19"/>
      <c r="H60" s="19"/>
      <c r="I60" s="16" t="s">
        <v>55</v>
      </c>
      <c r="J60" s="16" t="s">
        <v>55</v>
      </c>
    </row>
    <row r="61" ht="15.75" customHeight="1">
      <c r="A61" s="12">
        <v>49.0</v>
      </c>
      <c r="B61" s="13" t="s">
        <v>207</v>
      </c>
      <c r="C61" s="14" t="s">
        <v>232</v>
      </c>
      <c r="D61" s="13" t="s">
        <v>233</v>
      </c>
      <c r="E61" s="13" t="s">
        <v>234</v>
      </c>
      <c r="F61" s="12" t="s">
        <v>33</v>
      </c>
      <c r="G61" s="15"/>
      <c r="H61" s="15"/>
      <c r="I61" s="12" t="s">
        <v>55</v>
      </c>
      <c r="J61" s="12" t="s">
        <v>55</v>
      </c>
    </row>
    <row r="62" ht="15.75" customHeight="1">
      <c r="A62" s="16">
        <v>50.0</v>
      </c>
      <c r="B62" s="17" t="s">
        <v>207</v>
      </c>
      <c r="C62" s="18" t="s">
        <v>235</v>
      </c>
      <c r="D62" s="17" t="s">
        <v>236</v>
      </c>
      <c r="E62" s="17" t="s">
        <v>237</v>
      </c>
      <c r="F62" s="16" t="s">
        <v>33</v>
      </c>
      <c r="G62" s="19"/>
      <c r="H62" s="19"/>
      <c r="I62" s="16" t="s">
        <v>55</v>
      </c>
      <c r="J62" s="16" t="s">
        <v>55</v>
      </c>
    </row>
    <row r="63" ht="15.75" customHeight="1">
      <c r="A63" s="12">
        <v>51.0</v>
      </c>
      <c r="B63" s="13" t="s">
        <v>207</v>
      </c>
      <c r="C63" s="14" t="s">
        <v>239</v>
      </c>
      <c r="D63" s="13" t="s">
        <v>240</v>
      </c>
      <c r="E63" s="13" t="s">
        <v>241</v>
      </c>
      <c r="F63" s="12" t="s">
        <v>33</v>
      </c>
      <c r="G63" s="15"/>
      <c r="H63" s="15"/>
      <c r="I63" s="12" t="s">
        <v>55</v>
      </c>
      <c r="J63" s="12" t="s">
        <v>55</v>
      </c>
    </row>
    <row r="64" ht="15.75" customHeight="1">
      <c r="A64" s="16">
        <v>52.0</v>
      </c>
      <c r="B64" s="17" t="s">
        <v>207</v>
      </c>
      <c r="C64" s="18" t="s">
        <v>242</v>
      </c>
      <c r="D64" s="17" t="s">
        <v>243</v>
      </c>
      <c r="E64" s="17" t="s">
        <v>244</v>
      </c>
      <c r="F64" s="16" t="s">
        <v>33</v>
      </c>
      <c r="G64" s="19"/>
      <c r="H64" s="19"/>
      <c r="I64" s="16" t="s">
        <v>55</v>
      </c>
      <c r="J64" s="16" t="s">
        <v>55</v>
      </c>
    </row>
    <row r="65" ht="15.75" customHeight="1">
      <c r="A65" s="12">
        <v>53.0</v>
      </c>
      <c r="B65" s="13" t="s">
        <v>207</v>
      </c>
      <c r="C65" s="14" t="s">
        <v>245</v>
      </c>
      <c r="D65" s="13" t="s">
        <v>246</v>
      </c>
      <c r="E65" s="13" t="s">
        <v>247</v>
      </c>
      <c r="F65" s="12" t="s">
        <v>33</v>
      </c>
      <c r="G65" s="15"/>
      <c r="H65" s="15"/>
      <c r="I65" s="12" t="s">
        <v>55</v>
      </c>
      <c r="J65" s="12" t="s">
        <v>55</v>
      </c>
    </row>
    <row r="66" ht="15.75" customHeight="1">
      <c r="A66" s="16">
        <v>54.0</v>
      </c>
      <c r="B66" s="17" t="s">
        <v>207</v>
      </c>
      <c r="C66" s="18" t="s">
        <v>248</v>
      </c>
      <c r="D66" s="17" t="s">
        <v>249</v>
      </c>
      <c r="E66" s="17" t="s">
        <v>250</v>
      </c>
      <c r="F66" s="16" t="s">
        <v>33</v>
      </c>
      <c r="G66" s="19"/>
      <c r="H66" s="19"/>
      <c r="I66" s="16" t="s">
        <v>55</v>
      </c>
      <c r="J66" s="16" t="s">
        <v>55</v>
      </c>
    </row>
    <row r="67" ht="15.75" customHeight="1">
      <c r="A67" s="12">
        <v>55.0</v>
      </c>
      <c r="B67" s="13" t="s">
        <v>207</v>
      </c>
      <c r="C67" s="14" t="s">
        <v>251</v>
      </c>
      <c r="D67" s="13" t="s">
        <v>252</v>
      </c>
      <c r="E67" s="13" t="s">
        <v>253</v>
      </c>
      <c r="F67" s="12" t="s">
        <v>33</v>
      </c>
      <c r="G67" s="15"/>
      <c r="H67" s="15"/>
      <c r="I67" s="12" t="s">
        <v>55</v>
      </c>
      <c r="J67" s="12" t="s">
        <v>55</v>
      </c>
    </row>
    <row r="68" ht="15.75" customHeight="1">
      <c r="A68" s="16">
        <v>56.0</v>
      </c>
      <c r="B68" s="17" t="s">
        <v>207</v>
      </c>
      <c r="C68" s="18" t="s">
        <v>254</v>
      </c>
      <c r="D68" s="17" t="s">
        <v>255</v>
      </c>
      <c r="E68" s="17" t="s">
        <v>256</v>
      </c>
      <c r="F68" s="16" t="s">
        <v>33</v>
      </c>
      <c r="G68" s="19"/>
      <c r="H68" s="19"/>
      <c r="I68" s="16" t="s">
        <v>55</v>
      </c>
      <c r="J68" s="16" t="s">
        <v>55</v>
      </c>
    </row>
    <row r="69" ht="15.75" customHeight="1">
      <c r="A69" s="12">
        <v>57.0</v>
      </c>
      <c r="B69" s="13" t="s">
        <v>207</v>
      </c>
      <c r="C69" s="14" t="s">
        <v>257</v>
      </c>
      <c r="D69" s="13" t="s">
        <v>258</v>
      </c>
      <c r="E69" s="13" t="s">
        <v>259</v>
      </c>
      <c r="F69" s="12" t="s">
        <v>33</v>
      </c>
      <c r="G69" s="15"/>
      <c r="H69" s="15"/>
      <c r="I69" s="12" t="s">
        <v>55</v>
      </c>
      <c r="J69" s="12" t="s">
        <v>55</v>
      </c>
    </row>
    <row r="70" ht="15.75" customHeight="1">
      <c r="A70" s="16">
        <v>58.0</v>
      </c>
      <c r="B70" s="17" t="s">
        <v>207</v>
      </c>
      <c r="C70" s="18" t="s">
        <v>260</v>
      </c>
      <c r="D70" s="17" t="s">
        <v>261</v>
      </c>
      <c r="E70" s="17" t="s">
        <v>262</v>
      </c>
      <c r="F70" s="16" t="s">
        <v>33</v>
      </c>
      <c r="G70" s="19"/>
      <c r="H70" s="19"/>
      <c r="I70" s="16" t="s">
        <v>55</v>
      </c>
      <c r="J70" s="16" t="s">
        <v>55</v>
      </c>
    </row>
    <row r="71" ht="15.75" customHeight="1">
      <c r="A71" s="12">
        <v>59.0</v>
      </c>
      <c r="B71" s="13" t="s">
        <v>207</v>
      </c>
      <c r="C71" s="14" t="s">
        <v>264</v>
      </c>
      <c r="D71" s="13" t="s">
        <v>265</v>
      </c>
      <c r="E71" s="13" t="s">
        <v>266</v>
      </c>
      <c r="F71" s="12" t="s">
        <v>33</v>
      </c>
      <c r="G71" s="15"/>
      <c r="H71" s="15"/>
      <c r="I71" s="12" t="s">
        <v>55</v>
      </c>
      <c r="J71" s="12" t="s">
        <v>55</v>
      </c>
    </row>
    <row r="72" ht="15.75" customHeight="1">
      <c r="A72" s="16">
        <v>60.0</v>
      </c>
      <c r="B72" s="17" t="s">
        <v>207</v>
      </c>
      <c r="C72" s="18" t="s">
        <v>267</v>
      </c>
      <c r="D72" s="17" t="s">
        <v>268</v>
      </c>
      <c r="E72" s="17" t="s">
        <v>269</v>
      </c>
      <c r="F72" s="16" t="s">
        <v>33</v>
      </c>
      <c r="G72" s="19"/>
      <c r="H72" s="19"/>
      <c r="I72" s="16" t="s">
        <v>55</v>
      </c>
      <c r="J72" s="16" t="s">
        <v>55</v>
      </c>
    </row>
    <row r="73" ht="15.75" customHeight="1">
      <c r="A73" s="12">
        <v>61.0</v>
      </c>
      <c r="B73" s="13" t="s">
        <v>270</v>
      </c>
      <c r="C73" s="14" t="s">
        <v>271</v>
      </c>
      <c r="D73" s="13" t="s">
        <v>272</v>
      </c>
      <c r="E73" s="13" t="s">
        <v>273</v>
      </c>
      <c r="F73" s="12" t="s">
        <v>38</v>
      </c>
      <c r="G73" s="15"/>
      <c r="H73" s="12" t="s">
        <v>55</v>
      </c>
      <c r="I73" s="12" t="s">
        <v>55</v>
      </c>
      <c r="J73" s="12" t="s">
        <v>55</v>
      </c>
    </row>
    <row r="74" ht="15.75" customHeight="1">
      <c r="A74" s="16">
        <v>62.0</v>
      </c>
      <c r="B74" s="17" t="s">
        <v>270</v>
      </c>
      <c r="C74" s="18" t="s">
        <v>275</v>
      </c>
      <c r="D74" s="17" t="s">
        <v>276</v>
      </c>
      <c r="E74" s="17" t="s">
        <v>277</v>
      </c>
      <c r="F74" s="16" t="s">
        <v>38</v>
      </c>
      <c r="G74" s="19"/>
      <c r="H74" s="16" t="s">
        <v>55</v>
      </c>
      <c r="I74" s="16" t="s">
        <v>55</v>
      </c>
      <c r="J74" s="16" t="s">
        <v>55</v>
      </c>
    </row>
    <row r="75" ht="15.75" customHeight="1">
      <c r="A75" s="12">
        <v>63.0</v>
      </c>
      <c r="B75" s="13" t="s">
        <v>270</v>
      </c>
      <c r="C75" s="14" t="s">
        <v>278</v>
      </c>
      <c r="D75" s="13" t="s">
        <v>279</v>
      </c>
      <c r="E75" s="13" t="s">
        <v>280</v>
      </c>
      <c r="F75" s="12" t="s">
        <v>38</v>
      </c>
      <c r="G75" s="12" t="s">
        <v>99</v>
      </c>
      <c r="H75" s="12" t="s">
        <v>55</v>
      </c>
      <c r="I75" s="15"/>
      <c r="J75" s="15"/>
    </row>
    <row r="76" ht="15.75" customHeight="1">
      <c r="A76" s="16">
        <v>64.0</v>
      </c>
      <c r="B76" s="17" t="s">
        <v>270</v>
      </c>
      <c r="C76" s="18" t="s">
        <v>282</v>
      </c>
      <c r="D76" s="17" t="s">
        <v>283</v>
      </c>
      <c r="E76" s="17" t="s">
        <v>284</v>
      </c>
      <c r="F76" s="16" t="s">
        <v>38</v>
      </c>
      <c r="G76" s="19"/>
      <c r="H76" s="16" t="s">
        <v>55</v>
      </c>
      <c r="I76" s="19"/>
      <c r="J76" s="19"/>
    </row>
    <row r="77" ht="15.75" customHeight="1">
      <c r="A77" s="12">
        <v>65.0</v>
      </c>
      <c r="B77" s="13" t="s">
        <v>270</v>
      </c>
      <c r="C77" s="14" t="s">
        <v>285</v>
      </c>
      <c r="D77" s="13" t="s">
        <v>286</v>
      </c>
      <c r="E77" s="13" t="s">
        <v>287</v>
      </c>
      <c r="F77" s="12" t="s">
        <v>38</v>
      </c>
      <c r="G77" s="15"/>
      <c r="H77" s="12" t="s">
        <v>55</v>
      </c>
      <c r="I77" s="15"/>
      <c r="J77" s="15"/>
    </row>
    <row r="78" ht="15.75" customHeight="1">
      <c r="A78" s="16">
        <v>66.0</v>
      </c>
      <c r="B78" s="17" t="s">
        <v>270</v>
      </c>
      <c r="C78" s="18" t="s">
        <v>289</v>
      </c>
      <c r="D78" s="17" t="s">
        <v>290</v>
      </c>
      <c r="E78" s="17" t="s">
        <v>291</v>
      </c>
      <c r="F78" s="16" t="s">
        <v>38</v>
      </c>
      <c r="G78" s="19"/>
      <c r="H78" s="16" t="s">
        <v>55</v>
      </c>
      <c r="I78" s="19"/>
      <c r="J78" s="19"/>
    </row>
    <row r="79" ht="15.75" customHeight="1">
      <c r="A79" s="12">
        <v>67.0</v>
      </c>
      <c r="B79" s="13" t="s">
        <v>270</v>
      </c>
      <c r="C79" s="14" t="s">
        <v>292</v>
      </c>
      <c r="D79" s="13" t="s">
        <v>293</v>
      </c>
      <c r="E79" s="13" t="s">
        <v>294</v>
      </c>
      <c r="F79" s="12" t="s">
        <v>38</v>
      </c>
      <c r="G79" s="15"/>
      <c r="H79" s="12" t="s">
        <v>55</v>
      </c>
      <c r="I79" s="15"/>
      <c r="J79" s="15"/>
    </row>
    <row r="80" ht="15.75" customHeight="1">
      <c r="A80" s="16">
        <v>68.0</v>
      </c>
      <c r="B80" s="17" t="s">
        <v>270</v>
      </c>
      <c r="C80" s="18" t="s">
        <v>296</v>
      </c>
      <c r="D80" s="17" t="s">
        <v>297</v>
      </c>
      <c r="E80" s="17" t="s">
        <v>298</v>
      </c>
      <c r="F80" s="16" t="s">
        <v>38</v>
      </c>
      <c r="G80" s="19"/>
      <c r="H80" s="19"/>
      <c r="I80" s="19"/>
      <c r="J80" s="16" t="s">
        <v>55</v>
      </c>
    </row>
    <row r="81" ht="15.75" customHeight="1">
      <c r="A81" s="12">
        <v>69.0</v>
      </c>
      <c r="B81" s="13" t="s">
        <v>270</v>
      </c>
      <c r="C81" s="14" t="s">
        <v>299</v>
      </c>
      <c r="D81" s="13" t="s">
        <v>300</v>
      </c>
      <c r="E81" s="13" t="s">
        <v>301</v>
      </c>
      <c r="F81" s="12" t="s">
        <v>38</v>
      </c>
      <c r="G81" s="15"/>
      <c r="H81" s="12" t="s">
        <v>55</v>
      </c>
      <c r="I81" s="15"/>
      <c r="J81" s="15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 paperHeight="11in" paperWidth="21.65354330708661i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2026-09-27T08:35:46Z</dcterms:created>
  <dc:creator>openpyxl</dc:creator>
</cp:coreProperties>
</file>